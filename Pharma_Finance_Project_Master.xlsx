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ing projects\Pharma Financial Analysis\"/>
    </mc:Choice>
  </mc:AlternateContent>
  <xr:revisionPtr revIDLastSave="0" documentId="13_ncr:1_{314CDC63-E3F7-422D-951D-393035B1A572}" xr6:coauthVersionLast="47" xr6:coauthVersionMax="47" xr10:uidLastSave="{00000000-0000-0000-0000-000000000000}"/>
  <bookViews>
    <workbookView xWindow="-98" yWindow="-98" windowWidth="21795" windowHeight="12975" tabRatio="500" firstSheet="2" activeTab="5" xr2:uid="{00000000-000D-0000-FFFF-FFFF00000000}"/>
  </bookViews>
  <sheets>
    <sheet name="Summary" sheetId="1" r:id="rId1"/>
    <sheet name="1. Raw Data" sheetId="2" r:id="rId2"/>
    <sheet name="2. Variance Analysis" sheetId="3" r:id="rId3"/>
    <sheet name="3. Margin Trend" sheetId="4" r:id="rId4"/>
    <sheet name="4. Product-Service Mix" sheetId="5" r:id="rId5"/>
    <sheet name="Sourc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5" l="1"/>
  <c r="G7" i="5"/>
  <c r="D7" i="5"/>
  <c r="B7" i="5"/>
  <c r="I6" i="5"/>
  <c r="J6" i="5" s="1"/>
  <c r="K6" i="5" s="1"/>
  <c r="G6" i="5"/>
  <c r="H6" i="5" s="1"/>
  <c r="D6" i="5"/>
  <c r="B6" i="5"/>
  <c r="C6" i="5" s="1"/>
  <c r="B22" i="5" s="1"/>
  <c r="L19" i="4"/>
  <c r="N19" i="4" s="1"/>
  <c r="K19" i="4"/>
  <c r="I19" i="4"/>
  <c r="J19" i="4" s="1"/>
  <c r="H19" i="4"/>
  <c r="G19" i="4"/>
  <c r="F19" i="4"/>
  <c r="E19" i="4"/>
  <c r="C19" i="4"/>
  <c r="B19" i="4"/>
  <c r="D19" i="4" s="1"/>
  <c r="L18" i="4"/>
  <c r="M18" i="4" s="1"/>
  <c r="K18" i="4"/>
  <c r="I18" i="4"/>
  <c r="J18" i="4" s="1"/>
  <c r="H18" i="4"/>
  <c r="F18" i="4"/>
  <c r="G18" i="4" s="1"/>
  <c r="E18" i="4"/>
  <c r="C18" i="4"/>
  <c r="D18" i="4" s="1"/>
  <c r="B18" i="4"/>
  <c r="L17" i="4"/>
  <c r="N17" i="4" s="1"/>
  <c r="K17" i="4"/>
  <c r="J17" i="4"/>
  <c r="I17" i="4"/>
  <c r="H17" i="4"/>
  <c r="F17" i="4"/>
  <c r="G17" i="4" s="1"/>
  <c r="E17" i="4"/>
  <c r="C17" i="4"/>
  <c r="D17" i="4" s="1"/>
  <c r="B17" i="4"/>
  <c r="L16" i="4"/>
  <c r="K16" i="4"/>
  <c r="N16" i="4" s="1"/>
  <c r="J16" i="4"/>
  <c r="I16" i="4"/>
  <c r="H16" i="4"/>
  <c r="F16" i="4"/>
  <c r="E16" i="4"/>
  <c r="G16" i="4" s="1"/>
  <c r="C16" i="4"/>
  <c r="B16" i="4"/>
  <c r="D16" i="4" s="1"/>
  <c r="F9" i="4"/>
  <c r="G9" i="4" s="1"/>
  <c r="I9" i="4" s="1"/>
  <c r="E9" i="4"/>
  <c r="B9" i="4"/>
  <c r="F8" i="4"/>
  <c r="G8" i="4" s="1"/>
  <c r="I8" i="4" s="1"/>
  <c r="E8" i="4"/>
  <c r="C8" i="4"/>
  <c r="H8" i="4" s="1"/>
  <c r="B8" i="4"/>
  <c r="F7" i="4"/>
  <c r="E7" i="4"/>
  <c r="G7" i="4" s="1"/>
  <c r="I7" i="4" s="1"/>
  <c r="B7" i="4"/>
  <c r="G6" i="4"/>
  <c r="I6" i="4" s="1"/>
  <c r="F6" i="4"/>
  <c r="E6" i="4"/>
  <c r="B6" i="4"/>
  <c r="E24" i="3"/>
  <c r="D24" i="3"/>
  <c r="C24" i="3"/>
  <c r="B24" i="3"/>
  <c r="D23" i="3"/>
  <c r="C23" i="3"/>
  <c r="B23" i="3"/>
  <c r="E23" i="3" s="1"/>
  <c r="D22" i="3"/>
  <c r="C22" i="3"/>
  <c r="E22" i="3" s="1"/>
  <c r="B22" i="3"/>
  <c r="D21" i="3"/>
  <c r="C21" i="3"/>
  <c r="B21" i="3"/>
  <c r="E21" i="3" s="1"/>
  <c r="B16" i="3"/>
  <c r="G15" i="3"/>
  <c r="F15" i="3"/>
  <c r="E15" i="3"/>
  <c r="C15" i="3"/>
  <c r="D15" i="3" s="1"/>
  <c r="B15" i="3"/>
  <c r="E14" i="3"/>
  <c r="C14" i="3"/>
  <c r="D14" i="3" s="1"/>
  <c r="B14" i="3"/>
  <c r="F13" i="3"/>
  <c r="G13" i="3" s="1"/>
  <c r="E13" i="3"/>
  <c r="D13" i="3"/>
  <c r="C13" i="3"/>
  <c r="B13" i="3"/>
  <c r="C8" i="3"/>
  <c r="B8" i="3"/>
  <c r="D8" i="3" s="1"/>
  <c r="E8" i="3" s="1"/>
  <c r="C7" i="3"/>
  <c r="D7" i="3" s="1"/>
  <c r="E7" i="3" s="1"/>
  <c r="B7" i="3"/>
  <c r="D6" i="3"/>
  <c r="E6" i="3" s="1"/>
  <c r="C6" i="3"/>
  <c r="C9" i="3" s="1"/>
  <c r="D9" i="3" s="1"/>
  <c r="E9" i="3" s="1"/>
  <c r="B6" i="3"/>
  <c r="B9" i="3" s="1"/>
  <c r="E37" i="2"/>
  <c r="D8" i="5" s="1"/>
  <c r="D37" i="2"/>
  <c r="B8" i="5" s="1"/>
  <c r="C37" i="2"/>
  <c r="I8" i="5" s="1"/>
  <c r="B37" i="2"/>
  <c r="G8" i="5" s="1"/>
  <c r="E31" i="2"/>
  <c r="E30" i="2"/>
  <c r="E29" i="2"/>
  <c r="E28" i="2"/>
  <c r="C24" i="2"/>
  <c r="B24" i="2"/>
  <c r="H17" i="2"/>
  <c r="G17" i="2"/>
  <c r="D17" i="2"/>
  <c r="C17" i="2"/>
  <c r="B17" i="2"/>
  <c r="E10" i="2"/>
  <c r="G10" i="2" s="1"/>
  <c r="C9" i="4" s="1"/>
  <c r="D9" i="4" s="1"/>
  <c r="C10" i="2"/>
  <c r="B10" i="2"/>
  <c r="G8" i="2"/>
  <c r="G7" i="2"/>
  <c r="F14" i="3" s="1"/>
  <c r="G14" i="3" s="1"/>
  <c r="G6" i="2"/>
  <c r="C6" i="4" s="1"/>
  <c r="D6" i="4" s="1"/>
  <c r="H6" i="4" l="1"/>
  <c r="N18" i="4"/>
  <c r="C7" i="5"/>
  <c r="B23" i="5" s="1"/>
  <c r="D8" i="4"/>
  <c r="E7" i="5"/>
  <c r="M17" i="4"/>
  <c r="H7" i="5"/>
  <c r="J7" i="5"/>
  <c r="K7" i="5" s="1"/>
  <c r="M16" i="4"/>
  <c r="C7" i="4"/>
  <c r="E6" i="5"/>
  <c r="M19" i="4"/>
  <c r="H9" i="4"/>
  <c r="C22" i="5" l="1"/>
  <c r="F6" i="5"/>
  <c r="H7" i="4"/>
  <c r="D7" i="4"/>
  <c r="C23" i="5"/>
  <c r="F7" i="5"/>
</calcChain>
</file>

<file path=xl/sharedStrings.xml><?xml version="1.0" encoding="utf-8"?>
<sst xmlns="http://schemas.openxmlformats.org/spreadsheetml/2006/main" count="301" uniqueCount="219">
  <si>
    <t>TAB GUIDE</t>
  </si>
  <si>
    <t>Tab</t>
  </si>
  <si>
    <t>Contents</t>
  </si>
  <si>
    <t>1. Raw Data</t>
  </si>
  <si>
    <t>Segment revenue, GAAP/Non-GAAP margins (annual &amp; quarterly), organic growth bridge, Product/Service split, FY26 guidance</t>
  </si>
  <si>
    <t>2. Variance Analysis</t>
  </si>
  <si>
    <t>Revenue &amp; operating income variance FY25 vs FY24, driver commentary, organic growth bridge</t>
  </si>
  <si>
    <t>3. Margin Trend</t>
  </si>
  <si>
    <t>GAAP vs Non-GAAP margin trend by segment, annual &amp; quarterly, with chart</t>
  </si>
  <si>
    <t>4. Product-Service Mix</t>
  </si>
  <si>
    <t>Total company revenue mix shift, driver commentary, chart</t>
  </si>
  <si>
    <t>Sources</t>
  </si>
  <si>
    <t>Every source document, date, URL, and what it was used for</t>
  </si>
  <si>
    <t>COLOUR CONVENTION</t>
  </si>
  <si>
    <t>Blue text</t>
  </si>
  <si>
    <t>Hardcoded, verified fact sourced directly from a filing</t>
  </si>
  <si>
    <t>Green text</t>
  </si>
  <si>
    <t>Live formula linking to another tab in this workbook</t>
  </si>
  <si>
    <t>Black text</t>
  </si>
  <si>
    <t>Calculated on the current tab</t>
  </si>
  <si>
    <t>Grey italic</t>
  </si>
  <si>
    <t>Note, caveat, or explicitly flagged data gap ('n/a')</t>
  </si>
  <si>
    <t>All figures USD thousands. Source: Official CRL earnings releases, SEC-filed 10-K (crl-20251227.htm). Blue = verified hardcoded fact.</t>
  </si>
  <si>
    <t>Segment</t>
  </si>
  <si>
    <t>FY2024 Revenue</t>
  </si>
  <si>
    <t>FY2025 Revenue</t>
  </si>
  <si>
    <t>FY2024 Op Income</t>
  </si>
  <si>
    <t>FY2025 Op Income</t>
  </si>
  <si>
    <t>FY2024 Op Margin %</t>
  </si>
  <si>
    <t>FY2025 Op Margin %</t>
  </si>
  <si>
    <t>FY2024 Non-GAAP Margin %</t>
  </si>
  <si>
    <t>FY2025 Non-GAAP Margin %</t>
  </si>
  <si>
    <t>RMS</t>
  </si>
  <si>
    <t>n/a</t>
  </si>
  <si>
    <t>DSA</t>
  </si>
  <si>
    <t>Manufacturing</t>
  </si>
  <si>
    <t>Unallocated Corp Overhead</t>
  </si>
  <si>
    <t>TOTAL COMPANY</t>
  </si>
  <si>
    <t>Q3'24 Rev</t>
  </si>
  <si>
    <t>Q3'25 Rev</t>
  </si>
  <si>
    <t>Q3'25 Op Income</t>
  </si>
  <si>
    <t>Q3'24 Op Margin %</t>
  </si>
  <si>
    <t>Q3'25 Op Margin %</t>
  </si>
  <si>
    <t>9mo'24 Rev</t>
  </si>
  <si>
    <t>9mo'25 Rev</t>
  </si>
  <si>
    <t>9mo'24 Op Margin %</t>
  </si>
  <si>
    <t>9mo'25 Op Margin %</t>
  </si>
  <si>
    <t>TOTAL</t>
  </si>
  <si>
    <t>Q4 2024 Rev</t>
  </si>
  <si>
    <t>Q4 2025 Rev</t>
  </si>
  <si>
    <t>Q4'25 Op Income</t>
  </si>
  <si>
    <t>Q4'24 Op Margin %</t>
  </si>
  <si>
    <t>Q4'25 Op Margin %</t>
  </si>
  <si>
    <t>Reported Growth %</t>
  </si>
  <si>
    <t>FX Impact %</t>
  </si>
  <si>
    <t>Divestiture Impact %</t>
  </si>
  <si>
    <t>Organic Growth % (check)</t>
  </si>
  <si>
    <t>Total CRL</t>
  </si>
  <si>
    <t>Revenue Type</t>
  </si>
  <si>
    <t>Q4 2024</t>
  </si>
  <si>
    <t>Q4 2025</t>
  </si>
  <si>
    <t>FY2024</t>
  </si>
  <si>
    <t>FY2025</t>
  </si>
  <si>
    <t>Service Revenue</t>
  </si>
  <si>
    <t>Product Revenue</t>
  </si>
  <si>
    <t>Total</t>
  </si>
  <si>
    <t>Metric</t>
  </si>
  <si>
    <t>Guided Range</t>
  </si>
  <si>
    <t>Reported Revenue Growth</t>
  </si>
  <si>
    <t>Flat to +1.5%</t>
  </si>
  <si>
    <t>GAAP EPS</t>
  </si>
  <si>
    <t>$6.30 - $6.80</t>
  </si>
  <si>
    <t>Non-GAAP EPS</t>
  </si>
  <si>
    <t>$10.70 - $11.20</t>
  </si>
  <si>
    <t>SOURCES:</t>
  </si>
  <si>
    <t>Q4/FY2025 results &amp; FY2026 Guidance: Charles River Labs press release, Feb 18 2026, ir.criver.com</t>
  </si>
  <si>
    <t>Q3 2025 &amp; 9-month YTD results: Charles River Labs press release, Nov 5 2025, ir.criver.com</t>
  </si>
  <si>
    <t>FY2025 10-K: SEC EDGAR, filed Feb 18 2026, crl-20251227.htm, CIK 0001100682</t>
  </si>
  <si>
    <t>All segment sums independently verified to reconcile to disclosed totals (checked line by line before use).</t>
  </si>
  <si>
    <t>Q1'24 GAAP</t>
  </si>
  <si>
    <t>Q1'25 GAAP</t>
  </si>
  <si>
    <t>Q1'24 NonGAAP</t>
  </si>
  <si>
    <t>Q1'25 NonGAAP</t>
  </si>
  <si>
    <t>Q2'24 GAAP</t>
  </si>
  <si>
    <t>Q2'25 GAAP</t>
  </si>
  <si>
    <t>Q2'24 NonGAAP</t>
  </si>
  <si>
    <t>Q2'25 NonGAAP</t>
  </si>
  <si>
    <t>Q3'24 GAAP</t>
  </si>
  <si>
    <t>Q3'25 GAAP</t>
  </si>
  <si>
    <t>Q3'24 NonGAAP</t>
  </si>
  <si>
    <t>Q3'25 NonGAAP</t>
  </si>
  <si>
    <t>Q4'24 GAAP</t>
  </si>
  <si>
    <t>Q4'25 GAAP</t>
  </si>
  <si>
    <t>Q4'24 NonGAAP</t>
  </si>
  <si>
    <t>Q4'25 NonGAAP</t>
  </si>
  <si>
    <t>Note: 'n/a' = not disclosed at this segment/quarter level in the sourced earnings releases (verified absent, not omitted in error).</t>
  </si>
  <si>
    <t>Additional sources for Table 7:</t>
  </si>
  <si>
    <t>Q1 2025 earnings release: sec.gov/Archives/edgar/data/0001100682/000110068225000019/crl1q25earningsrelease.htm</t>
  </si>
  <si>
    <t>Q2 2025 earnings release: sec.gov/Archives/edgar/data/0001100682/000110068225000032/crl2q25earningsrelease.htm</t>
  </si>
  <si>
    <t>Q3 2025 earnings release: sec.gov/Archives/edgar/data/0001100682/000110068225000041/crl3q25earningsrelease.htm</t>
  </si>
  <si>
    <t>Q4 2024 earnings release: sec.gov/Archives/edgar/data/0001100682/000110068225000009/crl4q24earningsrelease.htm</t>
  </si>
  <si>
    <t>Q4/FY2025 earnings release &amp; guidance: ir.criver.com, Feb 18 2026</t>
  </si>
  <si>
    <t>Green = formula linking to '1. Raw Data' tab. Black = calculated on this tab. This mirrors Almac JD Responsibility #1: variance against budget/forecast/prior year with driver commentary.</t>
  </si>
  <si>
    <t>$ Variance</t>
  </si>
  <si>
    <t>% Variance</t>
  </si>
  <si>
    <t>Driver Commentary</t>
  </si>
  <si>
    <t>Organic growth +6.5%; large research model &amp; Cell Solutions demand offset FX headwind</t>
  </si>
  <si>
    <t>Organic decline -3.1%; lower discovery services volume + regulated safety assessment demand softness</t>
  </si>
  <si>
    <t>Organic decline -5.1%; softer Biologics/Microbial Solutions demand across the year</t>
  </si>
  <si>
    <t>Organic decline -1.6% for FY2025 overall; FX and portfolio moves largely offsetting</t>
  </si>
  <si>
    <t>Margin FY2024</t>
  </si>
  <si>
    <t>Margin FY2025</t>
  </si>
  <si>
    <t>Margin Δ (pts)</t>
  </si>
  <si>
    <t>NOTE: FY2024 segment operating income $ was not disclosed in the specific press releases pulled (only margin % was). Where '$ not disclosed', the % margin columns (E,F,G) remain fully verified and are the reliable comparison.</t>
  </si>
  <si>
    <t>Q3 2025 ORGANIC GROWTH BRIDGE (Reported → FX → Divestiture → Organic)</t>
  </si>
  <si>
    <t>Organic Growth %</t>
  </si>
  <si>
    <t>Green = formula link to '1. Raw Data'. Black = calculated on this tab. Directly answers Almac JD's KPI reporting &amp; margin analysis requirement.</t>
  </si>
  <si>
    <t>FY24 GAAP</t>
  </si>
  <si>
    <t>FY25 GAAP</t>
  </si>
  <si>
    <t>GAAP Δ (pts)</t>
  </si>
  <si>
    <t>FY24 NonGAAP</t>
  </si>
  <si>
    <t>FY25 NonGAAP</t>
  </si>
  <si>
    <t>NonGAAP Δ (pts)</t>
  </si>
  <si>
    <t>GAAP↔NonGAAP Gap FY25 (pts)</t>
  </si>
  <si>
    <t>Direction (NonGAAP)</t>
  </si>
  <si>
    <t>Read: FY25 GAAP margins are heavily distorted by non-cash impairments (esp. RMS Cell Solutions, Manufacturing Biologics Solutions).</t>
  </si>
  <si>
    <t>Non-GAAP margin trend is the reliable 'true operating profitability' signal for year-over-year comparison.</t>
  </si>
  <si>
    <t>Q1'24</t>
  </si>
  <si>
    <t>Q1'25</t>
  </si>
  <si>
    <t>Q1 Δ (pts)</t>
  </si>
  <si>
    <t>Q2'24</t>
  </si>
  <si>
    <t>Q2'25</t>
  </si>
  <si>
    <t>Q2 Δ (pts)</t>
  </si>
  <si>
    <t>Q3'24</t>
  </si>
  <si>
    <t>Q3'25</t>
  </si>
  <si>
    <t>Q3 Δ (pts)</t>
  </si>
  <si>
    <t>Q4'24</t>
  </si>
  <si>
    <t>Q4'25</t>
  </si>
  <si>
    <t>Q4 Δ (pts)</t>
  </si>
  <si>
    <t>FY Direction</t>
  </si>
  <si>
    <t>Note: Direction compares each quarter strictly to the SAME quarter of the prior year (Q4'25 vs Q4'24, not Q4'25 vs Q3'24) — corrects the earlier mismatched-period bug.</t>
  </si>
  <si>
    <t>Manufacturing Q1-Q3 Non-GAAP and Total Company Q1-Q2 Non-GAAP are marked 'n/a' as they were not disclosed at that granularity in the sourced releases.</t>
  </si>
  <si>
    <t>Green = formula link to '1. Raw Data' Table 5. Black = calculated on this tab. Scope note: CRL discloses Product/Service split at TOTAL COMPANY level only, not by segment -- this tab analyzes company-wide mix, not segment-level product/service detail.</t>
  </si>
  <si>
    <t>FY2024 $000s</t>
  </si>
  <si>
    <t>FY2024 Mix %</t>
  </si>
  <si>
    <t>FY2025 $000s</t>
  </si>
  <si>
    <t>FY2025 Mix %</t>
  </si>
  <si>
    <t>Mix Δ (pts)</t>
  </si>
  <si>
    <t>Q4'24 $000s</t>
  </si>
  <si>
    <t>Q4'24 Mix %</t>
  </si>
  <si>
    <t>Q4'25 $000s</t>
  </si>
  <si>
    <t>Q4'25 Mix %</t>
  </si>
  <si>
    <t>Q4 Mix Δ (pts)</t>
  </si>
  <si>
    <t>DRIVER COMMENTARY</t>
  </si>
  <si>
    <t>Service revenue share held broadly stable across FY2024-&gt;FY2025 (~81.6% of total both years), with a marginal decline as Product revenue grew slightly faster.</t>
  </si>
  <si>
    <t>Product revenue grew from $745.9M to $765.3M FY24-&gt;FY25 (+2.6%) even as Total Company organic revenue declined -1.6%, a mix-shift signal worth flagging to stakeholders.</t>
  </si>
  <si>
    <t>In Q4, the mix moved further toward Product (19.2% of Q4'25 revenue vs 19.0% in Q4'24), consistent with Manufacturing's Non-GAAP margin improvement seen in Tab 3 (27.4% -&gt; 28.8% FY), since Manufacturing skews more product-heavy than DSA.</t>
  </si>
  <si>
    <t>This is a company-wide, not segment-level, view -- a genuine limitation of CRL's public disclosure, flagged rather than filled with an estimate.</t>
  </si>
  <si>
    <t>No modelled, estimated, or assumed figures anywhere in this workbook. Every hardcoded (blue) cell traces to one of the sources below.</t>
  </si>
  <si>
    <t>#</t>
  </si>
  <si>
    <t>Document</t>
  </si>
  <si>
    <t>Publisher / Filing Type</t>
  </si>
  <si>
    <t>Date</t>
  </si>
  <si>
    <t>URL</t>
  </si>
  <si>
    <t>Used For</t>
  </si>
  <si>
    <t>Q1 2025 Earnings Release</t>
  </si>
  <si>
    <t>Form 8-K, SEC EDGAR</t>
  </si>
  <si>
    <t>May 2025</t>
  </si>
  <si>
    <t>https://www.sec.gov/Archives/edgar/data/0001100682/000110068225000019/crl1q25earningsrelease.htm</t>
  </si>
  <si>
    <t>Q1'25 vs Q1'24 segment revenue, GAAP/Non-GAAP margins (Tab 1 Table 7)</t>
  </si>
  <si>
    <t>Q2 2025 Earnings Release</t>
  </si>
  <si>
    <t>Aug 2025</t>
  </si>
  <si>
    <t>https://www.sec.gov/Archives/edgar/data/0001100682/000110068225000032/crl2q25earningsrelease.htm</t>
  </si>
  <si>
    <t>Q2'25 vs Q2'24 segment revenue, GAAP/Non-GAAP margins (Tab 1 Table 7)</t>
  </si>
  <si>
    <t>Q3 2025 Earnings Release</t>
  </si>
  <si>
    <t>Form 8-K, SEC EDGAR / businesswire.com</t>
  </si>
  <si>
    <t>Nov 5, 2025</t>
  </si>
  <si>
    <t>https://www.sec.gov/Archives/edgar/data/0001100682/000110068225000041/crl3q25earningsrelease.htm</t>
  </si>
  <si>
    <t>Q3'25 quarter &amp; 9-month YTD detail, organic growth bridge (Tab 1 Tables 2 &amp; 4)</t>
  </si>
  <si>
    <t>Q4 2024 / FY2024 Earnings Release</t>
  </si>
  <si>
    <t>Form 8-K, SEC EDGAR / ir.criver.com</t>
  </si>
  <si>
    <t>Feb 19, 2025</t>
  </si>
  <si>
    <t>https://ir.criver.com/news-releases/news-release-details/charles-river-laboratories-announces-fourth-quarter-and-full-13</t>
  </si>
  <si>
    <t>FY2024 segment margins, Q4 2024 quarterly detail (Tab 1 Tables 1 &amp; 3, Tab 1 Table 7)</t>
  </si>
  <si>
    <t>Q4 2025 / FY2025 Earnings Release &amp; FY2026 Guidance</t>
  </si>
  <si>
    <t>Form 8-K, SEC EDGAR / businesswire.com / ir.criver.com</t>
  </si>
  <si>
    <t>Feb 18, 2026</t>
  </si>
  <si>
    <t>https://www.businesswire.com/news/home/20260218016453/en/Charles-River-Laboratories-Announces-Fourth-Quarter-and-Full-Year-2025-Results-and-Provides-2026-Guidance</t>
  </si>
  <si>
    <t>FY2024/FY2025 segment revenue &amp; margins, Q4'25 detail, Product/Service split, 2026 guidance (Tab 1 Tables 1, 3, 5, 6, 7)</t>
  </si>
  <si>
    <t>FY2025 Form 10-K</t>
  </si>
  <si>
    <t>SEC EDGAR, CIK 0001100682</t>
  </si>
  <si>
    <t>Filed Feb 18, 2026</t>
  </si>
  <si>
    <t>https://www.sec.gov/cgi-bin/browse-edgar?action=getcompany&amp;CIK=0001100682</t>
  </si>
  <si>
    <t>Corroborates full-year segment figures and revenue disaggregation basis</t>
  </si>
  <si>
    <t>Verification method:</t>
  </si>
  <si>
    <t>- Every segment/total figure was cross-checked: segments sum to disclosed totals (Table 1, 2, 3, 5 in Raw Data).</t>
  </si>
  <si>
    <t>- Organic growth bridge (Reported - FX - Divestiture = Organic) independently recalculated and matched to CRL's own disclosed organic growth % for all four segments.</t>
  </si>
  <si>
    <t>- FY2025 GAAP margins recalculated from Op Income / Revenue and matched to disclosed rounded figures (RMS 5.3%, DSA 17.7%, Manufacturing -24.0%).</t>
  </si>
  <si>
    <t>- Where a figure was not disclosed at the required granularity (e.g. Manufacturing quarterly Non-GAAP margin, Q1-Q2 Total Company quarterly margin), it is marked 'n/a' rather than estimated.</t>
  </si>
  <si>
    <t>SOURCES - ALL FIGURES TRACE TO THESE PRIMARY DOCUMENTS</t>
  </si>
  <si>
    <t>PRODUCT vs SERVICE REVENUE MIX - TOTAL COMPANY</t>
  </si>
  <si>
    <t>TABLE 1 - REVENUE MIX %, FY2024 vs FY2025 and Q4 2024 vs Q4 2025</t>
  </si>
  <si>
    <t>CHART DATA - Revenue Mix % (FY2024 vs FY2025)</t>
  </si>
  <si>
    <t>MARGIN TREND - Is Each Segment Getting More or Less Profitable?</t>
  </si>
  <si>
    <t>TABLE 1 - FULL-YEAR MARGIN TREND, FY2024 vs FY2025</t>
  </si>
  <si>
    <t>TABLE 2 - QUARTERLY NON-GAAP OPERATING MARGIN TREND (same quarter, prior year vs current year)</t>
  </si>
  <si>
    <t>VARIANCE ANALYSIS - FY2025 vs FY2024 (Actual vs Prior Year)</t>
  </si>
  <si>
    <t>SEGMENT REVENUE VARIANCE - FY2025 vs FY2024</t>
  </si>
  <si>
    <t>OPERATING INCOME VARIANCE - FY2025 vs FY2024</t>
  </si>
  <si>
    <t>CHARLES RIVER LABORATORIES (NYSE: CRL) - RAW SEGMENT DATA</t>
  </si>
  <si>
    <t>TABLE 1 - FULL YEAR SEGMENT REVENUE &amp; GAAP OPERATING INCOME ($000s)</t>
  </si>
  <si>
    <t>TABLE 2 - Q3 2025 QUARTER &amp; 9-MONTH YTD DETAIL ($000s)</t>
  </si>
  <si>
    <t>TABLE 3 - QUARTERLY SEGMENT REVENUE, Q4 2024 vs Q4 2025 ($000s)</t>
  </si>
  <si>
    <t>TABLE 4 - Q3 2025 ORGANIC GROWTH BRIDGE (+FX/Divest % = favorable; Organic = Reported - FX - Divestiture)</t>
  </si>
  <si>
    <t>TABLE 5 - TOTAL REVENUE SPLIT: PRODUCT VS SERVICE ($000s)</t>
  </si>
  <si>
    <t>TABLE 6 - FY2026 GUIDANCE (proxy for BUDGET line)</t>
  </si>
  <si>
    <t>TABLE 7 - QUARTERLY SEGMENT OPERATING MARGIN, GAAP vs NON-GAAP (Q1'24–Q4'25)</t>
  </si>
  <si>
    <t>PHARMACEUTICAL SERVICES FINANCIAL ANALYSIS -  WORKING FILE (Charles River Laboratories, NYSE: CRL)</t>
  </si>
  <si>
    <t>This workbook uses Charles River Laboratories' publicly disclosed segment financials (RMS, DSA, Manufacturing) to build a working understanding of pharmaceutical services financial modelling. It applies variance analysis, margin and KPI reporting, live formula driven modelling, and clear stakeholder facing commentary, skills relevant across FP&amp;A and commercial finance roles in the sector. Every figure traces to a cited public filing (see 'Sources' tab), nothing is estimated or invented.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</si>
</sst>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0.0%"/>
    <numFmt numFmtId="167" formatCode="0.0&quot; pts&quot;;\(0.0&quot;) pts&quot;"/>
    <numFmt numFmtId="168" formatCode="0.0"/>
  </numFmts>
  <fonts count="26" x14ac:knownFonts="1">
    <font>
      <sz val="11"/>
      <color theme="1"/>
      <name val="Calibri"/>
      <family val="2"/>
      <charset val="1"/>
    </font>
    <font>
      <sz val="11"/>
      <name val="Cambria"/>
      <charset val="1"/>
    </font>
    <font>
      <b/>
      <sz val="11"/>
      <color rgb="FF1F4E78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i/>
      <sz val="11"/>
      <name val="Cambria"/>
      <charset val="1"/>
    </font>
    <font>
      <i/>
      <sz val="10"/>
      <color rgb="FF808080"/>
      <name val="Cambria"/>
      <charset val="1"/>
    </font>
    <font>
      <sz val="11"/>
      <color rgb="FF008000"/>
      <name val="Cambria"/>
      <charset val="1"/>
    </font>
    <font>
      <sz val="9"/>
      <name val="Cambria"/>
      <charset val="1"/>
    </font>
    <font>
      <u/>
      <sz val="11"/>
      <color rgb="FF0563C1"/>
      <name val="Cambria"/>
      <charset val="1"/>
    </font>
    <font>
      <b/>
      <sz val="16"/>
      <color rgb="FF1F4E78"/>
      <name val="Cambria"/>
      <family val="1"/>
    </font>
    <font>
      <sz val="16"/>
      <color theme="1"/>
      <name val="Calibri"/>
      <family val="2"/>
      <charset val="1"/>
    </font>
    <font>
      <i/>
      <sz val="10"/>
      <name val="Cambria"/>
      <family val="1"/>
    </font>
    <font>
      <sz val="11"/>
      <name val="Calibri"/>
      <family val="2"/>
      <charset val="1"/>
    </font>
    <font>
      <b/>
      <sz val="14"/>
      <color rgb="FF1F4E78"/>
      <name val="Cambria"/>
      <family val="1"/>
    </font>
    <font>
      <b/>
      <sz val="11"/>
      <color rgb="FF1F4E78"/>
      <name val="Cambria"/>
      <family val="1"/>
    </font>
    <font>
      <i/>
      <sz val="9"/>
      <name val="Cambria"/>
      <family val="1"/>
    </font>
    <font>
      <i/>
      <sz val="8"/>
      <name val="Cambria"/>
      <family val="1"/>
    </font>
    <font>
      <b/>
      <sz val="11"/>
      <color theme="1"/>
      <name val="Cambria"/>
      <family val="1"/>
      <scheme val="major"/>
    </font>
    <font>
      <sz val="10"/>
      <name val="Calibri"/>
      <family val="2"/>
      <charset val="1"/>
    </font>
    <font>
      <b/>
      <sz val="11"/>
      <name val="Cambria"/>
      <family val="1"/>
    </font>
    <font>
      <sz val="11"/>
      <name val="Cambria"/>
      <family val="1"/>
    </font>
    <font>
      <b/>
      <sz val="11"/>
      <color rgb="FFFFFFFF"/>
      <name val="Cambria"/>
      <family val="1"/>
    </font>
    <font>
      <b/>
      <sz val="11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003366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4" fillId="0" borderId="0" xfId="0" applyFont="1" applyBorder="1"/>
    <xf numFmtId="0" fontId="3" fillId="2" borderId="1" xfId="0" applyFont="1" applyFill="1" applyBorder="1"/>
    <xf numFmtId="0" fontId="1" fillId="0" borderId="1" xfId="0" applyFont="1" applyBorder="1"/>
    <xf numFmtId="0" fontId="4" fillId="0" borderId="1" xfId="0" applyFont="1" applyBorder="1"/>
    <xf numFmtId="0" fontId="11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6" fillId="0" borderId="0" xfId="0" applyFont="1"/>
    <xf numFmtId="0" fontId="17" fillId="0" borderId="0" xfId="0" applyFont="1"/>
    <xf numFmtId="3" fontId="9" fillId="0" borderId="1" xfId="0" applyNumberFormat="1" applyFont="1" applyBorder="1"/>
    <xf numFmtId="166" fontId="6" fillId="0" borderId="1" xfId="0" applyNumberFormat="1" applyFont="1" applyBorder="1"/>
    <xf numFmtId="168" fontId="6" fillId="0" borderId="1" xfId="0" applyNumberFormat="1" applyFont="1" applyBorder="1"/>
    <xf numFmtId="0" fontId="6" fillId="0" borderId="1" xfId="0" applyFont="1" applyBorder="1"/>
    <xf numFmtId="166" fontId="9" fillId="0" borderId="1" xfId="0" applyNumberFormat="1" applyFont="1" applyBorder="1"/>
    <xf numFmtId="166" fontId="9" fillId="0" borderId="1" xfId="0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0" fontId="18" fillId="0" borderId="0" xfId="0" applyFont="1"/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/>
    <xf numFmtId="0" fontId="6" fillId="0" borderId="1" xfId="0" applyFont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167" fontId="6" fillId="0" borderId="1" xfId="0" applyNumberFormat="1" applyFont="1" applyBorder="1"/>
    <xf numFmtId="0" fontId="0" fillId="0" borderId="1" xfId="0" applyBorder="1"/>
    <xf numFmtId="0" fontId="19" fillId="0" borderId="0" xfId="0" applyFont="1"/>
    <xf numFmtId="0" fontId="4" fillId="0" borderId="1" xfId="0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20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21" fillId="0" borderId="0" xfId="0" applyFont="1"/>
    <xf numFmtId="0" fontId="14" fillId="0" borderId="0" xfId="0" applyFont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0" fontId="24" fillId="2" borderId="2" xfId="0" applyFont="1" applyFill="1" applyBorder="1"/>
    <xf numFmtId="0" fontId="24" fillId="2" borderId="3" xfId="0" applyFont="1" applyFill="1" applyBorder="1" applyAlignment="1">
      <alignment horizontal="center"/>
    </xf>
    <xf numFmtId="0" fontId="23" fillId="0" borderId="0" xfId="0" applyFont="1" applyAlignment="1">
      <alignment wrapText="1"/>
    </xf>
    <xf numFmtId="0" fontId="22" fillId="0" borderId="2" xfId="0" applyFont="1" applyBorder="1"/>
    <xf numFmtId="0" fontId="23" fillId="0" borderId="3" xfId="0" applyFont="1" applyBorder="1" applyAlignment="1">
      <alignment wrapText="1"/>
    </xf>
    <xf numFmtId="0" fontId="23" fillId="0" borderId="4" xfId="0" applyFont="1" applyBorder="1" applyAlignment="1">
      <alignment wrapText="1"/>
    </xf>
    <xf numFmtId="0" fontId="23" fillId="0" borderId="0" xfId="0" applyFont="1"/>
    <xf numFmtId="0" fontId="23" fillId="0" borderId="5" xfId="0" applyFont="1" applyBorder="1" applyAlignment="1">
      <alignment wrapText="1"/>
    </xf>
    <xf numFmtId="0" fontId="0" fillId="0" borderId="6" xfId="0" applyBorder="1"/>
    <xf numFmtId="0" fontId="23" fillId="0" borderId="7" xfId="0" applyFont="1" applyBorder="1" applyAlignment="1">
      <alignment wrapText="1"/>
    </xf>
    <xf numFmtId="0" fontId="23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Fill="1" applyBorder="1"/>
    <xf numFmtId="166" fontId="9" fillId="0" borderId="0" xfId="0" applyNumberFormat="1" applyFont="1" applyBorder="1" applyAlignment="1">
      <alignment horizontal="right"/>
    </xf>
    <xf numFmtId="10" fontId="0" fillId="0" borderId="0" xfId="0" applyNumberFormat="1" applyBorder="1" applyAlignment="1">
      <alignment horizontal="right"/>
    </xf>
    <xf numFmtId="10" fontId="0" fillId="0" borderId="0" xfId="0" applyNumberFormat="1" applyBorder="1"/>
    <xf numFmtId="0" fontId="25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Mix % — FY2024 vs FY2025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Product-Service Mix'!$A$21</c:f>
              <c:strCache>
                <c:ptCount val="1"/>
                <c:pt idx="0">
                  <c:v>Revenue Type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Product-Service Mix'!$A$22:$A$23</c:f>
              <c:strCache>
                <c:ptCount val="2"/>
                <c:pt idx="0">
                  <c:v>Service Revenue</c:v>
                </c:pt>
                <c:pt idx="1">
                  <c:v>Product Revenue</c:v>
                </c:pt>
              </c:strCache>
            </c:strRef>
          </c:cat>
          <c:val>
            <c:numRef>
              <c:f>'4. Product-Service Mix'!$A$22:$A$23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6-4BC5-8B82-538D0A766BB2}"/>
            </c:ext>
          </c:extLst>
        </c:ser>
        <c:ser>
          <c:idx val="1"/>
          <c:order val="1"/>
          <c:tx>
            <c:strRef>
              <c:f>'4. Product-Service Mix'!$B$21</c:f>
              <c:strCache>
                <c:ptCount val="1"/>
                <c:pt idx="0">
                  <c:v>FY2024 Mix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Product-Service Mix'!$A$22:$A$23</c:f>
              <c:strCache>
                <c:ptCount val="2"/>
                <c:pt idx="0">
                  <c:v>Service Revenue</c:v>
                </c:pt>
                <c:pt idx="1">
                  <c:v>Product Revenue</c:v>
                </c:pt>
              </c:strCache>
            </c:strRef>
          </c:cat>
          <c:val>
            <c:numRef>
              <c:f>'4. Product-Service Mix'!$B$22:$B$23</c:f>
              <c:numCache>
                <c:formatCode>0.0%</c:formatCode>
                <c:ptCount val="2"/>
                <c:pt idx="0">
                  <c:v>0.81583875906823455</c:v>
                </c:pt>
                <c:pt idx="1">
                  <c:v>0.1841612409317655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6-4BC5-8B82-538D0A766BB2}"/>
            </c:ext>
          </c:extLst>
        </c:ser>
        <c:ser>
          <c:idx val="2"/>
          <c:order val="2"/>
          <c:tx>
            <c:strRef>
              <c:f>'4. Product-Service Mix'!$C$21</c:f>
              <c:strCache>
                <c:ptCount val="1"/>
                <c:pt idx="0">
                  <c:v>FY2025 Mix %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Product-Service Mix'!$A$22:$A$23</c:f>
              <c:strCache>
                <c:ptCount val="2"/>
                <c:pt idx="0">
                  <c:v>Service Revenue</c:v>
                </c:pt>
                <c:pt idx="1">
                  <c:v>Product Revenue</c:v>
                </c:pt>
              </c:strCache>
            </c:strRef>
          </c:cat>
          <c:val>
            <c:numRef>
              <c:f>'4. Product-Service Mix'!$C$22:$C$23</c:f>
              <c:numCache>
                <c:formatCode>0.0%</c:formatCode>
                <c:ptCount val="2"/>
                <c:pt idx="0">
                  <c:v>0.80941215555581014</c:v>
                </c:pt>
                <c:pt idx="1">
                  <c:v>0.19058784444418986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76-4BC5-8B82-538D0A766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28716"/>
        <c:axId val="78992881"/>
      </c:barChart>
      <c:catAx>
        <c:axId val="87828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92881"/>
        <c:crosses val="autoZero"/>
        <c:auto val="1"/>
        <c:lblAlgn val="ctr"/>
        <c:lblOffset val="100"/>
        <c:noMultiLvlLbl val="0"/>
      </c:catAx>
      <c:valAx>
        <c:axId val="789928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% of 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28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368451</xdr:colOff>
      <xdr:row>14</xdr:row>
      <xdr:rowOff>521607</xdr:rowOff>
    </xdr:from>
    <xdr:to>
      <xdr:col>14</xdr:col>
      <xdr:colOff>3555</xdr:colOff>
      <xdr:row>24</xdr:row>
      <xdr:rowOff>177671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0001100682/000110068225000041/crl3q25earningsrelease.htm" TargetMode="External"/><Relationship Id="rId2" Type="http://schemas.openxmlformats.org/officeDocument/2006/relationships/hyperlink" Target="https://www.sec.gov/Archives/edgar/data/0001100682/000110068225000032/crl2q25earningsrelease.htm" TargetMode="External"/><Relationship Id="rId1" Type="http://schemas.openxmlformats.org/officeDocument/2006/relationships/hyperlink" Target="https://www.sec.gov/Archives/edgar/data/0001100682/000110068225000019/crl1q25earningsrelease.htm" TargetMode="External"/><Relationship Id="rId6" Type="http://schemas.openxmlformats.org/officeDocument/2006/relationships/hyperlink" Target="https://www.sec.gov/cgi-bin/browse-edgar?action=getcompany&amp;CIK=0001100682" TargetMode="External"/><Relationship Id="rId5" Type="http://schemas.openxmlformats.org/officeDocument/2006/relationships/hyperlink" Target="https://www.businesswire.com/news/home/20260218016453/en/Charles-River-Laboratories-Announces-Fourth-Quarter-and-Full-Year-2025-Results-and-Provides-2026-Guidance" TargetMode="External"/><Relationship Id="rId4" Type="http://schemas.openxmlformats.org/officeDocument/2006/relationships/hyperlink" Target="https://ir.criver.com/news-releases/news-release-details/charles-river-laboratories-announces-fourth-quarter-and-full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="77" zoomScaleNormal="100" workbookViewId="0">
      <selection activeCell="K27" sqref="K27"/>
    </sheetView>
  </sheetViews>
  <sheetFormatPr defaultColWidth="8.6640625" defaultRowHeight="14.25" x14ac:dyDescent="0.45"/>
  <cols>
    <col min="1" max="1" width="22" customWidth="1"/>
    <col min="2" max="2" width="40" customWidth="1"/>
    <col min="3" max="3" width="86.06640625" customWidth="1"/>
    <col min="4" max="4" width="9.33203125" hidden="1" customWidth="1"/>
    <col min="5" max="5" width="6" customWidth="1"/>
    <col min="6" max="8" width="10" customWidth="1"/>
  </cols>
  <sheetData>
    <row r="1" spans="1:8" ht="17.25" x14ac:dyDescent="0.45">
      <c r="A1" s="17" t="s">
        <v>217</v>
      </c>
    </row>
    <row r="2" spans="1:8" x14ac:dyDescent="0.45">
      <c r="A2" s="52"/>
    </row>
    <row r="4" spans="1:8" ht="11.75" customHeight="1" x14ac:dyDescent="0.45">
      <c r="A4" s="18" t="s">
        <v>210</v>
      </c>
    </row>
    <row r="5" spans="1:8" ht="60" customHeight="1" x14ac:dyDescent="0.45">
      <c r="A5" s="53" t="s">
        <v>218</v>
      </c>
      <c r="B5" s="53"/>
      <c r="C5" s="53"/>
      <c r="D5" s="53"/>
      <c r="E5" s="53"/>
      <c r="F5" s="53"/>
      <c r="G5" s="53"/>
      <c r="H5" s="53"/>
    </row>
    <row r="7" spans="1:8" ht="14.65" thickBot="1" x14ac:dyDescent="0.5">
      <c r="A7" s="18" t="s">
        <v>0</v>
      </c>
    </row>
    <row r="8" spans="1:8" ht="15" thickTop="1" thickBot="1" x14ac:dyDescent="0.5">
      <c r="A8" s="54" t="s">
        <v>1</v>
      </c>
      <c r="B8" s="55" t="s">
        <v>2</v>
      </c>
      <c r="C8" s="56"/>
      <c r="D8" s="62"/>
      <c r="E8" s="65"/>
    </row>
    <row r="9" spans="1:8" ht="30" customHeight="1" thickTop="1" thickBot="1" x14ac:dyDescent="0.5">
      <c r="A9" s="57" t="s">
        <v>3</v>
      </c>
      <c r="B9" s="58" t="s">
        <v>4</v>
      </c>
      <c r="D9" s="61"/>
      <c r="E9" s="64"/>
      <c r="F9" s="2"/>
      <c r="G9" s="2"/>
      <c r="H9" s="2"/>
    </row>
    <row r="10" spans="1:8" ht="30" customHeight="1" thickTop="1" thickBot="1" x14ac:dyDescent="0.5">
      <c r="A10" s="57" t="s">
        <v>5</v>
      </c>
      <c r="B10" s="58" t="s">
        <v>6</v>
      </c>
      <c r="C10" s="56"/>
      <c r="D10" s="61"/>
      <c r="E10" s="64"/>
      <c r="F10" s="2"/>
      <c r="G10" s="2"/>
      <c r="H10" s="2"/>
    </row>
    <row r="11" spans="1:8" ht="30" customHeight="1" thickTop="1" thickBot="1" x14ac:dyDescent="0.5">
      <c r="A11" s="57" t="s">
        <v>7</v>
      </c>
      <c r="B11" s="58" t="s">
        <v>8</v>
      </c>
      <c r="C11" s="56"/>
      <c r="D11" s="61"/>
      <c r="E11" s="64"/>
      <c r="F11" s="2"/>
      <c r="G11" s="2"/>
      <c r="H11" s="2"/>
    </row>
    <row r="12" spans="1:8" ht="30" customHeight="1" thickTop="1" thickBot="1" x14ac:dyDescent="0.5">
      <c r="A12" s="57" t="s">
        <v>9</v>
      </c>
      <c r="B12" s="58" t="s">
        <v>10</v>
      </c>
      <c r="C12" s="56"/>
      <c r="D12" s="61"/>
      <c r="E12" s="64"/>
      <c r="F12" s="2"/>
      <c r="G12" s="2"/>
      <c r="H12" s="2"/>
    </row>
    <row r="13" spans="1:8" ht="30" customHeight="1" thickTop="1" thickBot="1" x14ac:dyDescent="0.5">
      <c r="A13" s="57" t="s">
        <v>11</v>
      </c>
      <c r="B13" s="59" t="s">
        <v>12</v>
      </c>
      <c r="C13" s="56"/>
      <c r="D13" s="63"/>
      <c r="E13" s="64"/>
      <c r="F13" s="2"/>
      <c r="G13" s="2"/>
      <c r="H13" s="2"/>
    </row>
    <row r="14" spans="1:8" ht="14.65" thickTop="1" x14ac:dyDescent="0.45"/>
    <row r="15" spans="1:8" x14ac:dyDescent="0.45">
      <c r="A15" s="18" t="s">
        <v>13</v>
      </c>
    </row>
    <row r="16" spans="1:8" x14ac:dyDescent="0.45">
      <c r="A16" s="51" t="s">
        <v>14</v>
      </c>
      <c r="B16" s="60" t="s">
        <v>15</v>
      </c>
      <c r="C16" s="60"/>
      <c r="D16" s="60"/>
      <c r="E16" s="60"/>
      <c r="F16" s="60"/>
      <c r="G16" s="60"/>
      <c r="H16" s="60"/>
    </row>
    <row r="17" spans="1:8" x14ac:dyDescent="0.45">
      <c r="A17" s="51" t="s">
        <v>16</v>
      </c>
      <c r="B17" s="60" t="s">
        <v>17</v>
      </c>
      <c r="C17" s="60"/>
      <c r="D17" s="60"/>
      <c r="E17" s="60"/>
      <c r="F17" s="60"/>
      <c r="G17" s="60"/>
      <c r="H17" s="60"/>
    </row>
    <row r="18" spans="1:8" x14ac:dyDescent="0.45">
      <c r="A18" s="51" t="s">
        <v>18</v>
      </c>
      <c r="B18" s="60" t="s">
        <v>19</v>
      </c>
      <c r="C18" s="60"/>
      <c r="D18" s="60"/>
      <c r="E18" s="60"/>
      <c r="F18" s="60"/>
      <c r="G18" s="60"/>
      <c r="H18" s="60"/>
    </row>
    <row r="19" spans="1:8" x14ac:dyDescent="0.45">
      <c r="A19" s="51" t="s">
        <v>20</v>
      </c>
      <c r="B19" s="60" t="s">
        <v>21</v>
      </c>
      <c r="C19" s="60"/>
      <c r="D19" s="60"/>
      <c r="E19" s="60"/>
      <c r="F19" s="60"/>
      <c r="G19" s="60"/>
      <c r="H19" s="60"/>
    </row>
  </sheetData>
  <mergeCells count="10">
    <mergeCell ref="B16:H16"/>
    <mergeCell ref="B17:H17"/>
    <mergeCell ref="B18:H18"/>
    <mergeCell ref="B19:H19"/>
    <mergeCell ref="F11:H11"/>
    <mergeCell ref="F12:H12"/>
    <mergeCell ref="F13:H13"/>
    <mergeCell ref="A5:H5"/>
    <mergeCell ref="F9:H9"/>
    <mergeCell ref="F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6"/>
  <sheetViews>
    <sheetView topLeftCell="A36" zoomScale="56" zoomScaleNormal="100" workbookViewId="0">
      <selection activeCell="V80" sqref="V80"/>
    </sheetView>
  </sheetViews>
  <sheetFormatPr defaultColWidth="8.6640625" defaultRowHeight="14.25" x14ac:dyDescent="0.45"/>
  <cols>
    <col min="1" max="1" width="24" customWidth="1"/>
    <col min="2" max="10" width="15" customWidth="1"/>
    <col min="11" max="11" width="18" customWidth="1"/>
    <col min="12" max="12" width="15.3984375" customWidth="1"/>
    <col min="13" max="13" width="16.265625" customWidth="1"/>
    <col min="14" max="14" width="13.9296875" customWidth="1"/>
    <col min="15" max="15" width="13.796875" customWidth="1"/>
    <col min="16" max="16" width="15.59765625" customWidth="1"/>
    <col min="17" max="17" width="14.9296875" customWidth="1"/>
  </cols>
  <sheetData>
    <row r="1" spans="1:10" s="8" customFormat="1" ht="17.25" customHeight="1" x14ac:dyDescent="0.65">
      <c r="A1" s="27" t="s">
        <v>209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s="10" customFormat="1" ht="15" customHeight="1" x14ac:dyDescent="0.45">
      <c r="A2" s="50" t="s">
        <v>22</v>
      </c>
      <c r="B2" s="50"/>
      <c r="C2" s="50"/>
      <c r="D2" s="50"/>
      <c r="E2" s="50"/>
      <c r="F2" s="50"/>
      <c r="G2" s="50"/>
      <c r="H2" s="50"/>
      <c r="I2" s="50"/>
      <c r="J2" s="50"/>
    </row>
    <row r="4" spans="1:10" ht="15" customHeight="1" thickBot="1" x14ac:dyDescent="0.5">
      <c r="A4" s="18" t="s">
        <v>210</v>
      </c>
    </row>
    <row r="5" spans="1:10" ht="41.25" customHeight="1" thickTop="1" thickBot="1" x14ac:dyDescent="0.5">
      <c r="A5" s="28" t="s">
        <v>23</v>
      </c>
      <c r="B5" s="28" t="s">
        <v>24</v>
      </c>
      <c r="C5" s="28" t="s">
        <v>25</v>
      </c>
      <c r="D5" s="28" t="s">
        <v>26</v>
      </c>
      <c r="E5" s="28" t="s">
        <v>27</v>
      </c>
      <c r="F5" s="28" t="s">
        <v>28</v>
      </c>
      <c r="G5" s="28" t="s">
        <v>29</v>
      </c>
      <c r="H5" s="28" t="s">
        <v>30</v>
      </c>
      <c r="I5" s="28" t="s">
        <v>31</v>
      </c>
    </row>
    <row r="6" spans="1:10" ht="15" customHeight="1" thickTop="1" thickBot="1" x14ac:dyDescent="0.5">
      <c r="A6" s="14" t="s">
        <v>32</v>
      </c>
      <c r="B6" s="44">
        <v>829377</v>
      </c>
      <c r="C6" s="44">
        <v>846082</v>
      </c>
      <c r="D6" s="44" t="s">
        <v>33</v>
      </c>
      <c r="E6" s="44">
        <v>44567</v>
      </c>
      <c r="F6" s="45">
        <v>0.13800000000000001</v>
      </c>
      <c r="G6" s="31">
        <f>E6/C6</f>
        <v>5.2674563458388196E-2</v>
      </c>
      <c r="H6" s="45">
        <v>0.23699999999999999</v>
      </c>
      <c r="I6" s="45">
        <v>0.248</v>
      </c>
    </row>
    <row r="7" spans="1:10" ht="15" customHeight="1" thickTop="1" thickBot="1" x14ac:dyDescent="0.5">
      <c r="A7" s="14" t="s">
        <v>34</v>
      </c>
      <c r="B7" s="44">
        <v>2451280</v>
      </c>
      <c r="C7" s="44">
        <v>2402891</v>
      </c>
      <c r="D7" s="44" t="s">
        <v>33</v>
      </c>
      <c r="E7" s="44">
        <v>424555</v>
      </c>
      <c r="F7" s="45">
        <v>0.18099999999999999</v>
      </c>
      <c r="G7" s="31">
        <f>E7/C7</f>
        <v>0.17668508475831821</v>
      </c>
      <c r="H7" s="45">
        <v>0.25700000000000001</v>
      </c>
      <c r="I7" s="45">
        <v>0.24199999999999999</v>
      </c>
    </row>
    <row r="8" spans="1:10" ht="15" customHeight="1" thickTop="1" thickBot="1" x14ac:dyDescent="0.5">
      <c r="A8" s="14" t="s">
        <v>35</v>
      </c>
      <c r="B8" s="44">
        <v>769332</v>
      </c>
      <c r="C8" s="44">
        <v>766409</v>
      </c>
      <c r="D8" s="44" t="s">
        <v>33</v>
      </c>
      <c r="E8" s="44">
        <v>-184284</v>
      </c>
      <c r="F8" s="45">
        <v>-9.2999999999999999E-2</v>
      </c>
      <c r="G8" s="31">
        <f>E8/C8</f>
        <v>-0.24045124731050915</v>
      </c>
      <c r="H8" s="45">
        <v>0.27400000000000002</v>
      </c>
      <c r="I8" s="45">
        <v>0.28799999999999998</v>
      </c>
    </row>
    <row r="9" spans="1:10" ht="15" customHeight="1" thickTop="1" thickBot="1" x14ac:dyDescent="0.5">
      <c r="A9" s="46" t="s">
        <v>36</v>
      </c>
      <c r="B9" s="47"/>
      <c r="C9" s="47"/>
      <c r="D9" s="44" t="s">
        <v>33</v>
      </c>
      <c r="E9" s="44">
        <v>-259676</v>
      </c>
      <c r="F9" s="47"/>
      <c r="G9" s="47"/>
      <c r="H9" s="47"/>
      <c r="I9" s="47"/>
    </row>
    <row r="10" spans="1:10" ht="15" customHeight="1" thickTop="1" thickBot="1" x14ac:dyDescent="0.5">
      <c r="A10" s="14" t="s">
        <v>37</v>
      </c>
      <c r="B10" s="30">
        <f>SUM(B6:B8)</f>
        <v>4049989</v>
      </c>
      <c r="C10" s="30">
        <f>SUM(C6:C8)</f>
        <v>4015382</v>
      </c>
      <c r="D10" s="48" t="s">
        <v>33</v>
      </c>
      <c r="E10" s="30">
        <f>SUM(E6:E9)</f>
        <v>25162</v>
      </c>
      <c r="F10" s="45">
        <v>5.6000000000000001E-2</v>
      </c>
      <c r="G10" s="31">
        <f>E10/C10</f>
        <v>6.2664025489978289E-3</v>
      </c>
      <c r="H10" s="45">
        <v>0.19900000000000001</v>
      </c>
      <c r="I10" s="45">
        <v>0.19800000000000001</v>
      </c>
    </row>
    <row r="11" spans="1:10" ht="14.65" thickTop="1" x14ac:dyDescent="0.45"/>
    <row r="12" spans="1:10" ht="15" customHeight="1" thickBot="1" x14ac:dyDescent="0.5">
      <c r="A12" s="18" t="s">
        <v>211</v>
      </c>
    </row>
    <row r="13" spans="1:10" ht="27.75" customHeight="1" thickTop="1" thickBot="1" x14ac:dyDescent="0.5">
      <c r="A13" s="28" t="s">
        <v>23</v>
      </c>
      <c r="B13" s="28" t="s">
        <v>38</v>
      </c>
      <c r="C13" s="28" t="s">
        <v>39</v>
      </c>
      <c r="D13" s="28" t="s">
        <v>40</v>
      </c>
      <c r="E13" s="28" t="s">
        <v>41</v>
      </c>
      <c r="F13" s="28" t="s">
        <v>42</v>
      </c>
      <c r="G13" s="28" t="s">
        <v>43</v>
      </c>
      <c r="H13" s="28" t="s">
        <v>44</v>
      </c>
      <c r="I13" s="28" t="s">
        <v>45</v>
      </c>
      <c r="J13" s="28" t="s">
        <v>46</v>
      </c>
    </row>
    <row r="14" spans="1:10" ht="15" customHeight="1" thickTop="1" thickBot="1" x14ac:dyDescent="0.5">
      <c r="A14" s="14" t="s">
        <v>32</v>
      </c>
      <c r="B14" s="44">
        <v>197824</v>
      </c>
      <c r="C14" s="44">
        <v>213474</v>
      </c>
      <c r="D14" s="44">
        <v>34553</v>
      </c>
      <c r="E14" s="45">
        <v>0.13900000000000001</v>
      </c>
      <c r="F14" s="45">
        <v>0.16200000000000001</v>
      </c>
      <c r="G14" s="44">
        <v>625120</v>
      </c>
      <c r="H14" s="44">
        <v>639818</v>
      </c>
      <c r="I14" s="45">
        <v>0.161</v>
      </c>
      <c r="J14" s="45">
        <v>0.17799999999999999</v>
      </c>
    </row>
    <row r="15" spans="1:10" ht="15" customHeight="1" thickTop="1" thickBot="1" x14ac:dyDescent="0.5">
      <c r="A15" s="14" t="s">
        <v>34</v>
      </c>
      <c r="B15" s="44">
        <v>615060</v>
      </c>
      <c r="C15" s="44">
        <v>600685</v>
      </c>
      <c r="D15" s="44">
        <v>123153</v>
      </c>
      <c r="E15" s="45">
        <v>0.20599999999999999</v>
      </c>
      <c r="F15" s="45">
        <v>0.20499999999999999</v>
      </c>
      <c r="G15" s="44">
        <v>1847931</v>
      </c>
      <c r="H15" s="44">
        <v>1811323</v>
      </c>
      <c r="I15" s="45">
        <v>0.20499999999999999</v>
      </c>
      <c r="J15" s="45">
        <v>0.188</v>
      </c>
    </row>
    <row r="16" spans="1:10" ht="15" customHeight="1" thickTop="1" thickBot="1" x14ac:dyDescent="0.5">
      <c r="A16" s="14" t="s">
        <v>35</v>
      </c>
      <c r="B16" s="44">
        <v>196879</v>
      </c>
      <c r="C16" s="44">
        <v>190693</v>
      </c>
      <c r="D16" s="44">
        <v>39926</v>
      </c>
      <c r="E16" s="45">
        <v>0.20399999999999999</v>
      </c>
      <c r="F16" s="45">
        <v>0.20899999999999999</v>
      </c>
      <c r="G16" s="44">
        <v>574389</v>
      </c>
      <c r="H16" s="44">
        <v>570014</v>
      </c>
      <c r="I16" s="45">
        <v>0.193</v>
      </c>
      <c r="J16" s="45">
        <v>7.5999999999999998E-2</v>
      </c>
    </row>
    <row r="17" spans="1:10" ht="15" customHeight="1" thickTop="1" thickBot="1" x14ac:dyDescent="0.5">
      <c r="A17" s="14" t="s">
        <v>47</v>
      </c>
      <c r="B17" s="30">
        <f>SUM(B14:B16)</f>
        <v>1009763</v>
      </c>
      <c r="C17" s="30">
        <f>SUM(C14:C16)</f>
        <v>1004852</v>
      </c>
      <c r="D17" s="30">
        <f>SUM(D14:D16)</f>
        <v>197632</v>
      </c>
      <c r="E17" s="37"/>
      <c r="F17" s="37"/>
      <c r="G17" s="30">
        <f>SUM(G14:G16)</f>
        <v>3047440</v>
      </c>
      <c r="H17" s="30">
        <f>SUM(H14:H16)</f>
        <v>3021155</v>
      </c>
      <c r="I17" s="37"/>
      <c r="J17" s="37"/>
    </row>
    <row r="18" spans="1:10" ht="14.65" thickTop="1" x14ac:dyDescent="0.45"/>
    <row r="19" spans="1:10" ht="15" customHeight="1" thickBot="1" x14ac:dyDescent="0.5">
      <c r="A19" s="18" t="s">
        <v>212</v>
      </c>
    </row>
    <row r="20" spans="1:10" ht="27.75" customHeight="1" thickTop="1" thickBot="1" x14ac:dyDescent="0.5">
      <c r="A20" s="28" t="s">
        <v>23</v>
      </c>
      <c r="B20" s="28" t="s">
        <v>48</v>
      </c>
      <c r="C20" s="28" t="s">
        <v>49</v>
      </c>
      <c r="D20" s="28" t="s">
        <v>50</v>
      </c>
      <c r="E20" s="28" t="s">
        <v>51</v>
      </c>
      <c r="F20" s="28" t="s">
        <v>52</v>
      </c>
    </row>
    <row r="21" spans="1:10" ht="15" customHeight="1" thickTop="1" thickBot="1" x14ac:dyDescent="0.5">
      <c r="A21" s="14" t="s">
        <v>32</v>
      </c>
      <c r="B21" s="44">
        <v>204257</v>
      </c>
      <c r="C21" s="44">
        <v>206264</v>
      </c>
      <c r="D21" s="44">
        <v>-69377</v>
      </c>
      <c r="E21" s="45">
        <v>6.7000000000000004E-2</v>
      </c>
      <c r="F21" s="45">
        <v>-0.33600000000000002</v>
      </c>
    </row>
    <row r="22" spans="1:10" ht="15" customHeight="1" thickTop="1" thickBot="1" x14ac:dyDescent="0.5">
      <c r="A22" s="14" t="s">
        <v>34</v>
      </c>
      <c r="B22" s="44">
        <v>603349</v>
      </c>
      <c r="C22" s="44">
        <v>591568</v>
      </c>
      <c r="D22" s="44">
        <v>84669</v>
      </c>
      <c r="E22" s="45">
        <v>0.104</v>
      </c>
      <c r="F22" s="45">
        <v>0.14299999999999999</v>
      </c>
    </row>
    <row r="23" spans="1:10" ht="15" customHeight="1" thickTop="1" thickBot="1" x14ac:dyDescent="0.5">
      <c r="A23" s="14" t="s">
        <v>35</v>
      </c>
      <c r="B23" s="44">
        <v>194943</v>
      </c>
      <c r="C23" s="44">
        <v>196395</v>
      </c>
      <c r="D23" s="44">
        <v>-227651</v>
      </c>
      <c r="E23" s="45">
        <v>-0.93600000000000005</v>
      </c>
      <c r="F23" s="45">
        <v>-1.159</v>
      </c>
    </row>
    <row r="24" spans="1:10" ht="15" customHeight="1" thickTop="1" thickBot="1" x14ac:dyDescent="0.5">
      <c r="A24" s="14" t="s">
        <v>47</v>
      </c>
      <c r="B24" s="30">
        <f>SUM(B21:B23)</f>
        <v>1002549</v>
      </c>
      <c r="C24" s="30">
        <f>SUM(C21:C23)</f>
        <v>994227</v>
      </c>
      <c r="D24" s="44">
        <v>-283440</v>
      </c>
      <c r="E24" s="45">
        <v>-0.16700000000000001</v>
      </c>
      <c r="F24" s="45">
        <v>-0.28499999999999998</v>
      </c>
    </row>
    <row r="25" spans="1:10" ht="14.65" thickTop="1" x14ac:dyDescent="0.45"/>
    <row r="26" spans="1:10" ht="15" customHeight="1" thickBot="1" x14ac:dyDescent="0.5">
      <c r="A26" s="18" t="s">
        <v>213</v>
      </c>
    </row>
    <row r="27" spans="1:10" ht="41.25" customHeight="1" thickTop="1" thickBot="1" x14ac:dyDescent="0.5">
      <c r="A27" s="28" t="s">
        <v>23</v>
      </c>
      <c r="B27" s="28" t="s">
        <v>53</v>
      </c>
      <c r="C27" s="28" t="s">
        <v>54</v>
      </c>
      <c r="D27" s="28" t="s">
        <v>55</v>
      </c>
      <c r="E27" s="28" t="s">
        <v>56</v>
      </c>
    </row>
    <row r="28" spans="1:10" ht="15" customHeight="1" thickTop="1" thickBot="1" x14ac:dyDescent="0.5">
      <c r="A28" s="14" t="s">
        <v>57</v>
      </c>
      <c r="B28" s="45">
        <v>-5.0000000000000001E-3</v>
      </c>
      <c r="C28" s="45">
        <v>1.2999999999999999E-2</v>
      </c>
      <c r="D28" s="45">
        <v>-2E-3</v>
      </c>
      <c r="E28" s="31">
        <f>B28-C28-D28</f>
        <v>-1.6E-2</v>
      </c>
    </row>
    <row r="29" spans="1:10" ht="15" customHeight="1" thickTop="1" thickBot="1" x14ac:dyDescent="0.5">
      <c r="A29" s="14" t="s">
        <v>32</v>
      </c>
      <c r="B29" s="45">
        <v>7.9000000000000001E-2</v>
      </c>
      <c r="C29" s="45">
        <v>1.4E-2</v>
      </c>
      <c r="D29" s="45">
        <v>0</v>
      </c>
      <c r="E29" s="31">
        <f>B29-C29-D29</f>
        <v>6.5000000000000002E-2</v>
      </c>
    </row>
    <row r="30" spans="1:10" ht="15" customHeight="1" thickTop="1" thickBot="1" x14ac:dyDescent="0.5">
      <c r="A30" s="14" t="s">
        <v>34</v>
      </c>
      <c r="B30" s="45">
        <v>-2.3E-2</v>
      </c>
      <c r="C30" s="45">
        <v>1.2E-2</v>
      </c>
      <c r="D30" s="45">
        <v>-4.0000000000000001E-3</v>
      </c>
      <c r="E30" s="31">
        <f>B30-C30-D30</f>
        <v>-3.1000000000000003E-2</v>
      </c>
    </row>
    <row r="31" spans="1:10" ht="15" customHeight="1" thickTop="1" thickBot="1" x14ac:dyDescent="0.5">
      <c r="A31" s="14" t="s">
        <v>35</v>
      </c>
      <c r="B31" s="45">
        <v>-3.1E-2</v>
      </c>
      <c r="C31" s="45">
        <v>0.02</v>
      </c>
      <c r="D31" s="45">
        <v>0</v>
      </c>
      <c r="E31" s="31">
        <f>B31-C31-D31</f>
        <v>-5.1000000000000004E-2</v>
      </c>
    </row>
    <row r="32" spans="1:10" ht="14.65" thickTop="1" x14ac:dyDescent="0.45"/>
    <row r="33" spans="1:5" ht="15" customHeight="1" thickBot="1" x14ac:dyDescent="0.5">
      <c r="A33" s="18" t="s">
        <v>214</v>
      </c>
    </row>
    <row r="34" spans="1:5" ht="15" customHeight="1" thickTop="1" thickBot="1" x14ac:dyDescent="0.5">
      <c r="A34" s="28" t="s">
        <v>58</v>
      </c>
      <c r="B34" s="28" t="s">
        <v>59</v>
      </c>
      <c r="C34" s="28" t="s">
        <v>60</v>
      </c>
      <c r="D34" s="28" t="s">
        <v>61</v>
      </c>
      <c r="E34" s="28" t="s">
        <v>62</v>
      </c>
    </row>
    <row r="35" spans="1:5" ht="15" customHeight="1" thickTop="1" thickBot="1" x14ac:dyDescent="0.5">
      <c r="A35" s="14" t="s">
        <v>63</v>
      </c>
      <c r="B35" s="44">
        <v>811913</v>
      </c>
      <c r="C35" s="44">
        <v>803298</v>
      </c>
      <c r="D35" s="44">
        <v>3304138</v>
      </c>
      <c r="E35" s="44">
        <v>3250099</v>
      </c>
    </row>
    <row r="36" spans="1:5" ht="15" customHeight="1" thickTop="1" thickBot="1" x14ac:dyDescent="0.5">
      <c r="A36" s="14" t="s">
        <v>64</v>
      </c>
      <c r="B36" s="44">
        <v>190636</v>
      </c>
      <c r="C36" s="44">
        <v>190929</v>
      </c>
      <c r="D36" s="44">
        <v>745851</v>
      </c>
      <c r="E36" s="44">
        <v>765283</v>
      </c>
    </row>
    <row r="37" spans="1:5" ht="15" customHeight="1" thickTop="1" thickBot="1" x14ac:dyDescent="0.5">
      <c r="A37" s="14" t="s">
        <v>65</v>
      </c>
      <c r="B37" s="30">
        <f>SUM(B35:B36)</f>
        <v>1002549</v>
      </c>
      <c r="C37" s="30">
        <f>SUM(C35:C36)</f>
        <v>994227</v>
      </c>
      <c r="D37" s="30">
        <f>SUM(D35:D36)</f>
        <v>4049989</v>
      </c>
      <c r="E37" s="30">
        <f>SUM(E35:E36)</f>
        <v>4015382</v>
      </c>
    </row>
    <row r="38" spans="1:5" ht="14.65" thickTop="1" x14ac:dyDescent="0.45"/>
    <row r="39" spans="1:5" ht="15" customHeight="1" thickBot="1" x14ac:dyDescent="0.5">
      <c r="A39" s="18" t="s">
        <v>215</v>
      </c>
    </row>
    <row r="40" spans="1:5" ht="15" customHeight="1" thickTop="1" thickBot="1" x14ac:dyDescent="0.5">
      <c r="A40" s="28" t="s">
        <v>66</v>
      </c>
      <c r="B40" s="28" t="s">
        <v>67</v>
      </c>
    </row>
    <row r="41" spans="1:5" ht="15" customHeight="1" thickTop="1" thickBot="1" x14ac:dyDescent="0.5">
      <c r="A41" s="42" t="s">
        <v>68</v>
      </c>
      <c r="B41" s="43" t="s">
        <v>69</v>
      </c>
    </row>
    <row r="42" spans="1:5" ht="15" customHeight="1" thickTop="1" thickBot="1" x14ac:dyDescent="0.5">
      <c r="A42" s="42" t="s">
        <v>70</v>
      </c>
      <c r="B42" s="43" t="s">
        <v>71</v>
      </c>
    </row>
    <row r="43" spans="1:5" ht="15" customHeight="1" thickTop="1" thickBot="1" x14ac:dyDescent="0.5">
      <c r="A43" s="42" t="s">
        <v>72</v>
      </c>
      <c r="B43" s="43" t="s">
        <v>73</v>
      </c>
    </row>
    <row r="44" spans="1:5" ht="14.65" thickTop="1" x14ac:dyDescent="0.45"/>
    <row r="46" spans="1:5" ht="15" customHeight="1" x14ac:dyDescent="0.45">
      <c r="A46" s="6" t="s">
        <v>74</v>
      </c>
    </row>
    <row r="47" spans="1:5" s="49" customFormat="1" ht="15" customHeight="1" x14ac:dyDescent="0.4">
      <c r="A47" s="9" t="s">
        <v>75</v>
      </c>
    </row>
    <row r="48" spans="1:5" s="49" customFormat="1" ht="15" customHeight="1" x14ac:dyDescent="0.4">
      <c r="A48" s="9" t="s">
        <v>76</v>
      </c>
    </row>
    <row r="49" spans="1:17" s="49" customFormat="1" ht="15" customHeight="1" x14ac:dyDescent="0.4">
      <c r="A49" s="9" t="s">
        <v>77</v>
      </c>
    </row>
    <row r="50" spans="1:17" s="49" customFormat="1" ht="15" customHeight="1" x14ac:dyDescent="0.4">
      <c r="A50" s="9" t="s">
        <v>78</v>
      </c>
    </row>
    <row r="52" spans="1:17" x14ac:dyDescent="0.45">
      <c r="A52" s="18" t="s">
        <v>216</v>
      </c>
    </row>
    <row r="53" spans="1:17" ht="14.65" thickBot="1" x14ac:dyDescent="0.5">
      <c r="A53" s="5" t="s">
        <v>23</v>
      </c>
      <c r="B53" s="5" t="s">
        <v>79</v>
      </c>
      <c r="C53" s="5" t="s">
        <v>80</v>
      </c>
      <c r="D53" s="5" t="s">
        <v>81</v>
      </c>
      <c r="E53" s="5" t="s">
        <v>82</v>
      </c>
      <c r="F53" s="5" t="s">
        <v>83</v>
      </c>
      <c r="G53" s="5" t="s">
        <v>84</v>
      </c>
      <c r="H53" s="5" t="s">
        <v>85</v>
      </c>
      <c r="I53" s="5" t="s">
        <v>86</v>
      </c>
      <c r="J53" s="5" t="s">
        <v>87</v>
      </c>
      <c r="K53" s="5" t="s">
        <v>88</v>
      </c>
      <c r="L53" s="5" t="s">
        <v>89</v>
      </c>
      <c r="M53" s="5" t="s">
        <v>90</v>
      </c>
      <c r="N53" s="5" t="s">
        <v>91</v>
      </c>
      <c r="O53" s="5" t="s">
        <v>92</v>
      </c>
      <c r="P53" s="5" t="s">
        <v>93</v>
      </c>
      <c r="Q53" s="5" t="s">
        <v>94</v>
      </c>
    </row>
    <row r="54" spans="1:17" ht="15" thickTop="1" thickBot="1" x14ac:dyDescent="0.5">
      <c r="A54" s="39" t="s">
        <v>32</v>
      </c>
      <c r="B54" s="40">
        <v>0.19500000000000001</v>
      </c>
      <c r="C54" s="40">
        <v>0.20499999999999999</v>
      </c>
      <c r="D54" s="40">
        <v>0.27600000000000002</v>
      </c>
      <c r="E54" s="40">
        <v>0.27100000000000002</v>
      </c>
      <c r="F54" s="40">
        <v>0.14499999999999999</v>
      </c>
      <c r="G54" s="40">
        <v>0.16800000000000001</v>
      </c>
      <c r="H54" s="40">
        <v>0.23100000000000001</v>
      </c>
      <c r="I54" s="40">
        <v>0.253</v>
      </c>
      <c r="J54" s="40">
        <v>0.13900000000000001</v>
      </c>
      <c r="K54" s="40">
        <v>0.16200000000000001</v>
      </c>
      <c r="L54" s="40">
        <v>0.21</v>
      </c>
      <c r="M54" s="40">
        <v>0.25</v>
      </c>
      <c r="N54" s="40">
        <v>6.7000000000000004E-2</v>
      </c>
      <c r="O54" s="40">
        <v>-0.33600000000000002</v>
      </c>
      <c r="P54" s="40">
        <v>0.22800000000000001</v>
      </c>
      <c r="Q54" s="40">
        <v>0.219</v>
      </c>
    </row>
    <row r="55" spans="1:17" ht="15" thickTop="1" thickBot="1" x14ac:dyDescent="0.5">
      <c r="A55" s="39" t="s">
        <v>34</v>
      </c>
      <c r="B55" s="40">
        <v>0.19</v>
      </c>
      <c r="C55" s="40">
        <v>0.159</v>
      </c>
      <c r="D55" s="40">
        <v>0.23499999999999999</v>
      </c>
      <c r="E55" s="40">
        <v>0.23899999999999999</v>
      </c>
      <c r="F55" s="40">
        <v>0.221</v>
      </c>
      <c r="G55" s="40">
        <v>0.19900000000000001</v>
      </c>
      <c r="H55" s="40">
        <v>0.27100000000000002</v>
      </c>
      <c r="I55" s="40">
        <v>0.27400000000000002</v>
      </c>
      <c r="J55" s="40">
        <v>0.20599999999999999</v>
      </c>
      <c r="K55" s="40">
        <v>0.20499999999999999</v>
      </c>
      <c r="L55" s="40">
        <v>0.27400000000000002</v>
      </c>
      <c r="M55" s="40">
        <v>0.254</v>
      </c>
      <c r="N55" s="40">
        <v>0.104</v>
      </c>
      <c r="O55" s="40">
        <v>0.14299999999999999</v>
      </c>
      <c r="P55" s="40">
        <v>0.247</v>
      </c>
      <c r="Q55" s="40">
        <v>0.20100000000000001</v>
      </c>
    </row>
    <row r="56" spans="1:17" ht="15" thickTop="1" thickBot="1" x14ac:dyDescent="0.5">
      <c r="A56" s="39" t="s">
        <v>35</v>
      </c>
      <c r="B56" s="41" t="s">
        <v>33</v>
      </c>
      <c r="C56" s="41" t="s">
        <v>33</v>
      </c>
      <c r="D56" s="41" t="s">
        <v>33</v>
      </c>
      <c r="E56" s="41" t="s">
        <v>33</v>
      </c>
      <c r="F56" s="40">
        <v>0.19400000000000001</v>
      </c>
      <c r="G56" s="40">
        <v>0.06</v>
      </c>
      <c r="H56" s="41" t="s">
        <v>33</v>
      </c>
      <c r="I56" s="41" t="s">
        <v>33</v>
      </c>
      <c r="J56" s="40">
        <v>0.20399999999999999</v>
      </c>
      <c r="K56" s="40">
        <v>0.20899999999999999</v>
      </c>
      <c r="L56" s="41" t="s">
        <v>33</v>
      </c>
      <c r="M56" s="41" t="s">
        <v>33</v>
      </c>
      <c r="N56" s="40">
        <v>-0.93600000000000005</v>
      </c>
      <c r="O56" s="40">
        <v>-1.159</v>
      </c>
      <c r="P56" s="40">
        <v>0.28699999999999998</v>
      </c>
      <c r="Q56" s="40">
        <v>0.32100000000000001</v>
      </c>
    </row>
    <row r="57" spans="1:17" ht="15" thickTop="1" thickBot="1" x14ac:dyDescent="0.5">
      <c r="A57" s="39" t="s">
        <v>37</v>
      </c>
      <c r="B57" s="41" t="s">
        <v>33</v>
      </c>
      <c r="C57" s="41" t="s">
        <v>33</v>
      </c>
      <c r="D57" s="41" t="s">
        <v>33</v>
      </c>
      <c r="E57" s="41" t="s">
        <v>33</v>
      </c>
      <c r="F57" s="41" t="s">
        <v>33</v>
      </c>
      <c r="G57" s="41" t="s">
        <v>33</v>
      </c>
      <c r="H57" s="41" t="s">
        <v>33</v>
      </c>
      <c r="I57" s="41" t="s">
        <v>33</v>
      </c>
      <c r="J57" s="40">
        <v>0.11600000000000001</v>
      </c>
      <c r="K57" s="40">
        <v>0.13300000000000001</v>
      </c>
      <c r="L57" s="40">
        <v>0.19900000000000001</v>
      </c>
      <c r="M57" s="40">
        <v>0.19700000000000001</v>
      </c>
      <c r="N57" s="40">
        <v>-0.16700000000000001</v>
      </c>
      <c r="O57" s="40">
        <v>-0.28499999999999998</v>
      </c>
      <c r="P57" s="40">
        <v>0.19900000000000001</v>
      </c>
      <c r="Q57" s="40">
        <v>0.18099999999999999</v>
      </c>
    </row>
    <row r="58" spans="1:17" ht="14.65" thickTop="1" x14ac:dyDescent="0.45"/>
    <row r="59" spans="1:17" s="10" customFormat="1" x14ac:dyDescent="0.45">
      <c r="A59" s="9" t="s">
        <v>95</v>
      </c>
    </row>
    <row r="60" spans="1:17" s="10" customFormat="1" x14ac:dyDescent="0.45"/>
    <row r="61" spans="1:17" s="10" customFormat="1" x14ac:dyDescent="0.45">
      <c r="A61" s="51" t="s">
        <v>96</v>
      </c>
    </row>
    <row r="62" spans="1:17" s="10" customFormat="1" x14ac:dyDescent="0.45">
      <c r="A62" s="9" t="s">
        <v>97</v>
      </c>
    </row>
    <row r="63" spans="1:17" s="10" customFormat="1" x14ac:dyDescent="0.45">
      <c r="A63" s="9" t="s">
        <v>98</v>
      </c>
    </row>
    <row r="64" spans="1:17" s="10" customFormat="1" x14ac:dyDescent="0.45">
      <c r="A64" s="9" t="s">
        <v>99</v>
      </c>
    </row>
    <row r="65" spans="1:1" s="10" customFormat="1" x14ac:dyDescent="0.45">
      <c r="A65" s="9" t="s">
        <v>100</v>
      </c>
    </row>
    <row r="66" spans="1:1" s="10" customFormat="1" x14ac:dyDescent="0.45">
      <c r="A66" s="9" t="s">
        <v>101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zoomScale="77" zoomScaleNormal="100" workbookViewId="0">
      <selection activeCell="J28" sqref="J28"/>
    </sheetView>
  </sheetViews>
  <sheetFormatPr defaultColWidth="8.6640625" defaultRowHeight="14.25" x14ac:dyDescent="0.45"/>
  <cols>
    <col min="1" max="1" width="22" customWidth="1"/>
    <col min="2" max="3" width="15" customWidth="1"/>
    <col min="4" max="4" width="26.9296875" customWidth="1"/>
    <col min="5" max="5" width="15" customWidth="1"/>
    <col min="6" max="6" width="59.53125" customWidth="1"/>
    <col min="7" max="7" width="15" customWidth="1"/>
  </cols>
  <sheetData>
    <row r="1" spans="1:10" s="8" customFormat="1" ht="17.25" customHeight="1" x14ac:dyDescent="0.65">
      <c r="A1" s="27" t="s">
        <v>206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s="10" customFormat="1" ht="15" customHeight="1" x14ac:dyDescent="0.4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ht="15" customHeight="1" thickBot="1" x14ac:dyDescent="0.5">
      <c r="A4" s="18" t="s">
        <v>207</v>
      </c>
    </row>
    <row r="5" spans="1:10" ht="27.75" customHeight="1" thickTop="1" thickBot="1" x14ac:dyDescent="0.5">
      <c r="A5" s="28" t="s">
        <v>23</v>
      </c>
      <c r="B5" s="28" t="s">
        <v>24</v>
      </c>
      <c r="C5" s="28" t="s">
        <v>25</v>
      </c>
      <c r="D5" s="28" t="s">
        <v>103</v>
      </c>
      <c r="E5" s="28" t="s">
        <v>104</v>
      </c>
      <c r="F5" s="28" t="s">
        <v>105</v>
      </c>
    </row>
    <row r="6" spans="1:10" ht="21.75" customHeight="1" thickTop="1" thickBot="1" x14ac:dyDescent="0.5">
      <c r="A6" s="14" t="s">
        <v>32</v>
      </c>
      <c r="B6" s="29">
        <f>'1. Raw Data'!B6</f>
        <v>829377</v>
      </c>
      <c r="C6" s="29">
        <f>'1. Raw Data'!C6</f>
        <v>846082</v>
      </c>
      <c r="D6" s="30">
        <f>C6-B6</f>
        <v>16705</v>
      </c>
      <c r="E6" s="31">
        <f>D6/B6</f>
        <v>2.0141624375886961E-2</v>
      </c>
      <c r="F6" s="32" t="s">
        <v>106</v>
      </c>
    </row>
    <row r="7" spans="1:10" ht="21.75" customHeight="1" thickTop="1" thickBot="1" x14ac:dyDescent="0.5">
      <c r="A7" s="14" t="s">
        <v>34</v>
      </c>
      <c r="B7" s="29">
        <f>'1. Raw Data'!B7</f>
        <v>2451280</v>
      </c>
      <c r="C7" s="29">
        <f>'1. Raw Data'!C7</f>
        <v>2402891</v>
      </c>
      <c r="D7" s="30">
        <f>C7-B7</f>
        <v>-48389</v>
      </c>
      <c r="E7" s="31">
        <f>D7/B7</f>
        <v>-1.9740298945856858E-2</v>
      </c>
      <c r="F7" s="32" t="s">
        <v>107</v>
      </c>
    </row>
    <row r="8" spans="1:10" ht="21.75" customHeight="1" thickTop="1" thickBot="1" x14ac:dyDescent="0.5">
      <c r="A8" s="14" t="s">
        <v>35</v>
      </c>
      <c r="B8" s="29">
        <f>'1. Raw Data'!B8</f>
        <v>769332</v>
      </c>
      <c r="C8" s="29">
        <f>'1. Raw Data'!C8</f>
        <v>766409</v>
      </c>
      <c r="D8" s="30">
        <f>C8-B8</f>
        <v>-2923</v>
      </c>
      <c r="E8" s="31">
        <f>D8/B8</f>
        <v>-3.799399998960137E-3</v>
      </c>
      <c r="F8" s="32" t="s">
        <v>108</v>
      </c>
    </row>
    <row r="9" spans="1:10" ht="15" customHeight="1" thickTop="1" thickBot="1" x14ac:dyDescent="0.5">
      <c r="A9" s="14" t="s">
        <v>37</v>
      </c>
      <c r="B9" s="30">
        <f>SUM(B6:B8)</f>
        <v>4049989</v>
      </c>
      <c r="C9" s="30">
        <f>SUM(C6:C8)</f>
        <v>4015382</v>
      </c>
      <c r="D9" s="30">
        <f>C9-B9</f>
        <v>-34607</v>
      </c>
      <c r="E9" s="31">
        <f>D9/B9</f>
        <v>-8.5449614801422925E-3</v>
      </c>
      <c r="F9" s="33" t="s">
        <v>109</v>
      </c>
    </row>
    <row r="10" spans="1:10" ht="14.65" thickTop="1" x14ac:dyDescent="0.45"/>
    <row r="11" spans="1:10" ht="15" customHeight="1" thickBot="1" x14ac:dyDescent="0.5">
      <c r="A11" s="18" t="s">
        <v>208</v>
      </c>
    </row>
    <row r="12" spans="1:10" ht="27.75" customHeight="1" thickTop="1" thickBot="1" x14ac:dyDescent="0.5">
      <c r="A12" s="28" t="s">
        <v>23</v>
      </c>
      <c r="B12" s="28" t="s">
        <v>26</v>
      </c>
      <c r="C12" s="28" t="s">
        <v>27</v>
      </c>
      <c r="D12" s="28" t="s">
        <v>103</v>
      </c>
      <c r="E12" s="28" t="s">
        <v>110</v>
      </c>
      <c r="F12" s="28" t="s">
        <v>111</v>
      </c>
      <c r="G12" s="28" t="s">
        <v>112</v>
      </c>
    </row>
    <row r="13" spans="1:10" ht="15" customHeight="1" thickTop="1" thickBot="1" x14ac:dyDescent="0.5">
      <c r="A13" s="14" t="s">
        <v>32</v>
      </c>
      <c r="B13" s="29" t="str">
        <f>'1. Raw Data'!D6</f>
        <v>n/a</v>
      </c>
      <c r="C13" s="29">
        <f>'1. Raw Data'!E6</f>
        <v>44567</v>
      </c>
      <c r="D13" s="34" t="str">
        <f>IFERROR(C13-B13,"n/a (FY24 $ not disclosed)")</f>
        <v>n/a (FY24 $ not disclosed)</v>
      </c>
      <c r="E13" s="35">
        <f>'1. Raw Data'!F6</f>
        <v>0.13800000000000001</v>
      </c>
      <c r="F13" s="35">
        <f>'1. Raw Data'!G6</f>
        <v>5.2674563458388196E-2</v>
      </c>
      <c r="G13" s="36">
        <f>(F13-E13)*100</f>
        <v>-8.5325436541611808</v>
      </c>
    </row>
    <row r="14" spans="1:10" ht="15" customHeight="1" thickTop="1" thickBot="1" x14ac:dyDescent="0.5">
      <c r="A14" s="14" t="s">
        <v>34</v>
      </c>
      <c r="B14" s="29" t="str">
        <f>'1. Raw Data'!D7</f>
        <v>n/a</v>
      </c>
      <c r="C14" s="29">
        <f>'1. Raw Data'!E7</f>
        <v>424555</v>
      </c>
      <c r="D14" s="34" t="str">
        <f>IFERROR(C14-B14,"n/a (FY24 $ not disclosed)")</f>
        <v>n/a (FY24 $ not disclosed)</v>
      </c>
      <c r="E14" s="35">
        <f>'1. Raw Data'!F7</f>
        <v>0.18099999999999999</v>
      </c>
      <c r="F14" s="35">
        <f>'1. Raw Data'!G7</f>
        <v>0.17668508475831821</v>
      </c>
      <c r="G14" s="36">
        <f>(F14-E14)*100</f>
        <v>-0.43149152416817882</v>
      </c>
    </row>
    <row r="15" spans="1:10" ht="15" customHeight="1" thickTop="1" thickBot="1" x14ac:dyDescent="0.5">
      <c r="A15" s="14" t="s">
        <v>35</v>
      </c>
      <c r="B15" s="29" t="str">
        <f>'1. Raw Data'!D8</f>
        <v>n/a</v>
      </c>
      <c r="C15" s="29">
        <f>'1. Raw Data'!E8</f>
        <v>-184284</v>
      </c>
      <c r="D15" s="34" t="str">
        <f>IFERROR(C15-B15,"n/a (FY24 $ not disclosed)")</f>
        <v>n/a (FY24 $ not disclosed)</v>
      </c>
      <c r="E15" s="35">
        <f>'1. Raw Data'!F8</f>
        <v>-9.2999999999999999E-2</v>
      </c>
      <c r="F15" s="35">
        <f>'1. Raw Data'!G8</f>
        <v>-0.24045124731050915</v>
      </c>
      <c r="G15" s="36">
        <f>(F15-E15)*100</f>
        <v>-14.745124731050915</v>
      </c>
    </row>
    <row r="16" spans="1:10" ht="15" customHeight="1" thickTop="1" thickBot="1" x14ac:dyDescent="0.5">
      <c r="A16" s="14" t="s">
        <v>37</v>
      </c>
      <c r="B16" s="29">
        <f>'1. Raw Data'!E9</f>
        <v>-259676</v>
      </c>
      <c r="C16" s="37"/>
      <c r="D16" s="37"/>
      <c r="E16" s="37"/>
      <c r="F16" s="37"/>
      <c r="G16" s="37"/>
    </row>
    <row r="17" spans="1:7" s="10" customFormat="1" ht="15" customHeight="1" thickTop="1" x14ac:dyDescent="0.45">
      <c r="A17" s="38" t="s">
        <v>113</v>
      </c>
      <c r="B17" s="38"/>
      <c r="C17" s="38"/>
      <c r="D17" s="38"/>
      <c r="E17" s="38"/>
      <c r="F17" s="38"/>
      <c r="G17" s="38"/>
    </row>
    <row r="19" spans="1:7" ht="15" customHeight="1" thickBot="1" x14ac:dyDescent="0.5">
      <c r="A19" s="4" t="s">
        <v>114</v>
      </c>
    </row>
    <row r="20" spans="1:7" ht="27.75" customHeight="1" thickTop="1" thickBot="1" x14ac:dyDescent="0.5">
      <c r="A20" s="28" t="s">
        <v>23</v>
      </c>
      <c r="B20" s="28" t="s">
        <v>53</v>
      </c>
      <c r="C20" s="28" t="s">
        <v>54</v>
      </c>
      <c r="D20" s="28" t="s">
        <v>55</v>
      </c>
      <c r="E20" s="28" t="s">
        <v>115</v>
      </c>
    </row>
    <row r="21" spans="1:7" ht="15" customHeight="1" thickTop="1" thickBot="1" x14ac:dyDescent="0.5">
      <c r="A21" s="14" t="s">
        <v>57</v>
      </c>
      <c r="B21" s="35">
        <f>'1. Raw Data'!B28</f>
        <v>-5.0000000000000001E-3</v>
      </c>
      <c r="C21" s="35">
        <f>'1. Raw Data'!C28</f>
        <v>1.2999999999999999E-2</v>
      </c>
      <c r="D21" s="35">
        <f>'1. Raw Data'!D28</f>
        <v>-2E-3</v>
      </c>
      <c r="E21" s="31">
        <f>B21-C21-D21</f>
        <v>-1.6E-2</v>
      </c>
    </row>
    <row r="22" spans="1:7" ht="15" customHeight="1" thickTop="1" thickBot="1" x14ac:dyDescent="0.5">
      <c r="A22" s="14" t="s">
        <v>32</v>
      </c>
      <c r="B22" s="35">
        <f>'1. Raw Data'!B29</f>
        <v>7.9000000000000001E-2</v>
      </c>
      <c r="C22" s="35">
        <f>'1. Raw Data'!C29</f>
        <v>1.4E-2</v>
      </c>
      <c r="D22" s="35">
        <f>'1. Raw Data'!D29</f>
        <v>0</v>
      </c>
      <c r="E22" s="31">
        <f>B22-C22-D22</f>
        <v>6.5000000000000002E-2</v>
      </c>
    </row>
    <row r="23" spans="1:7" ht="15" customHeight="1" thickTop="1" thickBot="1" x14ac:dyDescent="0.5">
      <c r="A23" s="14" t="s">
        <v>34</v>
      </c>
      <c r="B23" s="35">
        <f>'1. Raw Data'!B30</f>
        <v>-2.3E-2</v>
      </c>
      <c r="C23" s="35">
        <f>'1. Raw Data'!C30</f>
        <v>1.2E-2</v>
      </c>
      <c r="D23" s="35">
        <f>'1. Raw Data'!D30</f>
        <v>-4.0000000000000001E-3</v>
      </c>
      <c r="E23" s="31">
        <f>B23-C23-D23</f>
        <v>-3.1000000000000003E-2</v>
      </c>
    </row>
    <row r="24" spans="1:7" ht="15" customHeight="1" thickTop="1" thickBot="1" x14ac:dyDescent="0.5">
      <c r="A24" s="14" t="s">
        <v>35</v>
      </c>
      <c r="B24" s="35">
        <f>'1. Raw Data'!B31</f>
        <v>-3.1E-2</v>
      </c>
      <c r="C24" s="35">
        <f>'1. Raw Data'!C31</f>
        <v>0.02</v>
      </c>
      <c r="D24" s="35">
        <f>'1. Raw Data'!D31</f>
        <v>0</v>
      </c>
      <c r="E24" s="31">
        <f>B24-C24-D24</f>
        <v>-5.1000000000000004E-2</v>
      </c>
    </row>
    <row r="25" spans="1:7" ht="14.65" thickTop="1" x14ac:dyDescent="0.45"/>
  </sheetData>
  <mergeCells count="3">
    <mergeCell ref="A1:J1"/>
    <mergeCell ref="A2:J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zoomScale="68" zoomScaleNormal="100" workbookViewId="0">
      <selection activeCell="Q27" sqref="Q27"/>
    </sheetView>
  </sheetViews>
  <sheetFormatPr defaultColWidth="8.6640625" defaultRowHeight="14.25" x14ac:dyDescent="0.45"/>
  <cols>
    <col min="1" max="1" width="24.33203125" customWidth="1"/>
    <col min="2" max="2" width="11.6640625" customWidth="1"/>
    <col min="3" max="3" width="12.265625" customWidth="1"/>
    <col min="4" max="4" width="18" customWidth="1"/>
    <col min="5" max="5" width="18.06640625" customWidth="1"/>
    <col min="6" max="6" width="17.3984375" customWidth="1"/>
    <col min="7" max="7" width="17.1328125" customWidth="1"/>
    <col min="8" max="8" width="33.86328125" customWidth="1"/>
    <col min="9" max="9" width="20.265625" customWidth="1"/>
    <col min="10" max="10" width="15.19921875" customWidth="1"/>
    <col min="11" max="11" width="13.3984375" customWidth="1"/>
    <col min="12" max="12" width="14.19921875" customWidth="1"/>
    <col min="13" max="13" width="15.6640625" customWidth="1"/>
    <col min="14" max="14" width="26.6640625" customWidth="1"/>
  </cols>
  <sheetData>
    <row r="1" spans="1:14" s="8" customFormat="1" ht="21" x14ac:dyDescent="0.65">
      <c r="A1" s="7" t="s">
        <v>203</v>
      </c>
    </row>
    <row r="2" spans="1:14" s="10" customFormat="1" x14ac:dyDescent="0.45">
      <c r="A2" s="9" t="s">
        <v>116</v>
      </c>
    </row>
    <row r="4" spans="1:14" ht="14.65" thickBot="1" x14ac:dyDescent="0.5">
      <c r="A4" s="18" t="s">
        <v>204</v>
      </c>
    </row>
    <row r="5" spans="1:14" ht="15" thickTop="1" thickBot="1" x14ac:dyDescent="0.5">
      <c r="A5" s="12" t="s">
        <v>23</v>
      </c>
      <c r="B5" s="12" t="s">
        <v>117</v>
      </c>
      <c r="C5" s="12" t="s">
        <v>118</v>
      </c>
      <c r="D5" s="12" t="s">
        <v>119</v>
      </c>
      <c r="E5" s="12" t="s">
        <v>120</v>
      </c>
      <c r="F5" s="12" t="s">
        <v>121</v>
      </c>
      <c r="G5" s="12" t="s">
        <v>122</v>
      </c>
      <c r="H5" s="12" t="s">
        <v>123</v>
      </c>
      <c r="I5" s="12" t="s">
        <v>124</v>
      </c>
    </row>
    <row r="6" spans="1:14" ht="15" thickTop="1" thickBot="1" x14ac:dyDescent="0.5">
      <c r="A6" s="14" t="s">
        <v>32</v>
      </c>
      <c r="B6" s="23">
        <f>'1. Raw Data'!F6</f>
        <v>0.13800000000000001</v>
      </c>
      <c r="C6" s="23">
        <f>'1. Raw Data'!G6</f>
        <v>5.2674563458388196E-2</v>
      </c>
      <c r="D6" s="21">
        <f>(C6-B6)*100</f>
        <v>-8.5325436541611808</v>
      </c>
      <c r="E6" s="23">
        <f>'1. Raw Data'!H6</f>
        <v>0.23699999999999999</v>
      </c>
      <c r="F6" s="23">
        <f>'1. Raw Data'!I6</f>
        <v>0.248</v>
      </c>
      <c r="G6" s="21">
        <f>(F6-E6)*100</f>
        <v>1.100000000000001</v>
      </c>
      <c r="H6" s="21">
        <f>(F6-C6)*100</f>
        <v>19.532543654161181</v>
      </c>
      <c r="I6" s="22" t="str">
        <f>IF(G6&gt;0,"▲ Improving",IF(G6&lt;0,"▼ Declining","— Flat"))</f>
        <v>▲ Improving</v>
      </c>
    </row>
    <row r="7" spans="1:14" ht="15" thickTop="1" thickBot="1" x14ac:dyDescent="0.5">
      <c r="A7" s="14" t="s">
        <v>34</v>
      </c>
      <c r="B7" s="23">
        <f>'1. Raw Data'!F7</f>
        <v>0.18099999999999999</v>
      </c>
      <c r="C7" s="23">
        <f>'1. Raw Data'!G7</f>
        <v>0.17668508475831821</v>
      </c>
      <c r="D7" s="21">
        <f>(C7-B7)*100</f>
        <v>-0.43149152416817882</v>
      </c>
      <c r="E7" s="23">
        <f>'1. Raw Data'!H7</f>
        <v>0.25700000000000001</v>
      </c>
      <c r="F7" s="23">
        <f>'1. Raw Data'!I7</f>
        <v>0.24199999999999999</v>
      </c>
      <c r="G7" s="21">
        <f>(F7-E7)*100</f>
        <v>-1.5000000000000013</v>
      </c>
      <c r="H7" s="21">
        <f>(F7-C7)*100</f>
        <v>6.531491524168179</v>
      </c>
      <c r="I7" s="22" t="str">
        <f>IF(G7&gt;0,"▲ Improving",IF(G7&lt;0,"▼ Declining","— Flat"))</f>
        <v>▼ Declining</v>
      </c>
    </row>
    <row r="8" spans="1:14" ht="15" thickTop="1" thickBot="1" x14ac:dyDescent="0.5">
      <c r="A8" s="14" t="s">
        <v>35</v>
      </c>
      <c r="B8" s="23">
        <f>'1. Raw Data'!F8</f>
        <v>-9.2999999999999999E-2</v>
      </c>
      <c r="C8" s="23">
        <f>'1. Raw Data'!G8</f>
        <v>-0.24045124731050915</v>
      </c>
      <c r="D8" s="21">
        <f>(C8-B8)*100</f>
        <v>-14.745124731050915</v>
      </c>
      <c r="E8" s="23">
        <f>'1. Raw Data'!H8</f>
        <v>0.27400000000000002</v>
      </c>
      <c r="F8" s="23">
        <f>'1. Raw Data'!I8</f>
        <v>0.28799999999999998</v>
      </c>
      <c r="G8" s="21">
        <f>(F8-E8)*100</f>
        <v>1.3999999999999957</v>
      </c>
      <c r="H8" s="21">
        <f>(F8-C8)*100</f>
        <v>52.845124731050916</v>
      </c>
      <c r="I8" s="22" t="str">
        <f>IF(G8&gt;0,"▲ Improving",IF(G8&lt;0,"▼ Declining","— Flat"))</f>
        <v>▲ Improving</v>
      </c>
    </row>
    <row r="9" spans="1:14" ht="15" thickTop="1" thickBot="1" x14ac:dyDescent="0.5">
      <c r="A9" s="14" t="s">
        <v>37</v>
      </c>
      <c r="B9" s="23">
        <f>'1. Raw Data'!F10</f>
        <v>5.6000000000000001E-2</v>
      </c>
      <c r="C9" s="23">
        <f>'1. Raw Data'!G10</f>
        <v>6.2664025489978289E-3</v>
      </c>
      <c r="D9" s="21">
        <f>(C9-B9)*100</f>
        <v>-4.9733597451002174</v>
      </c>
      <c r="E9" s="23">
        <f>'1. Raw Data'!H10</f>
        <v>0.19900000000000001</v>
      </c>
      <c r="F9" s="23">
        <f>'1. Raw Data'!I10</f>
        <v>0.19800000000000001</v>
      </c>
      <c r="G9" s="21">
        <f>(F9-E9)*100</f>
        <v>-0.10000000000000009</v>
      </c>
      <c r="H9" s="21">
        <f>(F9-C9)*100</f>
        <v>19.173359745100218</v>
      </c>
      <c r="I9" s="22" t="str">
        <f>IF(G9&gt;0,"▲ Improving",IF(G9&lt;0,"▼ Declining","— Flat"))</f>
        <v>▼ Declining</v>
      </c>
    </row>
    <row r="10" spans="1:14" ht="14.65" thickTop="1" x14ac:dyDescent="0.45"/>
    <row r="11" spans="1:14" s="10" customFormat="1" x14ac:dyDescent="0.45">
      <c r="A11" s="9" t="s">
        <v>125</v>
      </c>
    </row>
    <row r="12" spans="1:14" s="10" customFormat="1" x14ac:dyDescent="0.45">
      <c r="A12" s="9" t="s">
        <v>126</v>
      </c>
    </row>
    <row r="14" spans="1:14" ht="14.65" thickBot="1" x14ac:dyDescent="0.5">
      <c r="A14" s="18" t="s">
        <v>205</v>
      </c>
    </row>
    <row r="15" spans="1:14" ht="15" thickTop="1" thickBot="1" x14ac:dyDescent="0.5">
      <c r="A15" s="12" t="s">
        <v>23</v>
      </c>
      <c r="B15" s="12" t="s">
        <v>127</v>
      </c>
      <c r="C15" s="12" t="s">
        <v>128</v>
      </c>
      <c r="D15" s="12" t="s">
        <v>129</v>
      </c>
      <c r="E15" s="12" t="s">
        <v>130</v>
      </c>
      <c r="F15" s="12" t="s">
        <v>131</v>
      </c>
      <c r="G15" s="12" t="s">
        <v>132</v>
      </c>
      <c r="H15" s="12" t="s">
        <v>133</v>
      </c>
      <c r="I15" s="12" t="s">
        <v>134</v>
      </c>
      <c r="J15" s="12" t="s">
        <v>135</v>
      </c>
      <c r="K15" s="12" t="s">
        <v>136</v>
      </c>
      <c r="L15" s="12" t="s">
        <v>137</v>
      </c>
      <c r="M15" s="12" t="s">
        <v>138</v>
      </c>
      <c r="N15" s="12" t="s">
        <v>139</v>
      </c>
    </row>
    <row r="16" spans="1:14" ht="15" thickTop="1" thickBot="1" x14ac:dyDescent="0.5">
      <c r="A16" s="14" t="s">
        <v>32</v>
      </c>
      <c r="B16" s="24">
        <f>IFERROR(VALUE('1. Raw Data'!D54),"n/a")</f>
        <v>0.27600000000000002</v>
      </c>
      <c r="C16" s="24">
        <f>IFERROR(VALUE('1. Raw Data'!E54),"n/a")</f>
        <v>0.27100000000000002</v>
      </c>
      <c r="D16" s="25">
        <f>IFERROR((C16-B16)*100,"n/a")</f>
        <v>-0.50000000000000044</v>
      </c>
      <c r="E16" s="24">
        <f>IFERROR(VALUE('1. Raw Data'!H54),"n/a")</f>
        <v>0.23100000000000001</v>
      </c>
      <c r="F16" s="24">
        <f>IFERROR(VALUE('1. Raw Data'!I54),"n/a")</f>
        <v>0.253</v>
      </c>
      <c r="G16" s="25">
        <f>IFERROR((F16-E16)*100,"n/a")</f>
        <v>2.1999999999999993</v>
      </c>
      <c r="H16" s="24">
        <f>IFERROR(VALUE('1. Raw Data'!L54),"n/a")</f>
        <v>0.21</v>
      </c>
      <c r="I16" s="24">
        <f>IFERROR(VALUE('1. Raw Data'!M54),"n/a")</f>
        <v>0.25</v>
      </c>
      <c r="J16" s="25">
        <f>IFERROR((I16-H16)*100,"n/a")</f>
        <v>4.0000000000000009</v>
      </c>
      <c r="K16" s="24">
        <f>IFERROR(VALUE('1. Raw Data'!P54),"n/a")</f>
        <v>0.22800000000000001</v>
      </c>
      <c r="L16" s="24">
        <f>IFERROR(VALUE('1. Raw Data'!Q54),"n/a")</f>
        <v>0.219</v>
      </c>
      <c r="M16" s="25">
        <f>IFERROR((L16-K16)*100,"n/a")</f>
        <v>-0.9000000000000008</v>
      </c>
      <c r="N16" s="22" t="str">
        <f>IFERROR(IF(L16&gt;K16,"▲ Improving",IF(L16&lt;K16,"▼ Declining","— Flat")),"n/a")</f>
        <v>▼ Declining</v>
      </c>
    </row>
    <row r="17" spans="1:14" ht="15" thickTop="1" thickBot="1" x14ac:dyDescent="0.5">
      <c r="A17" s="14" t="s">
        <v>34</v>
      </c>
      <c r="B17" s="24">
        <f>IFERROR(VALUE('1. Raw Data'!D55),"n/a")</f>
        <v>0.23499999999999999</v>
      </c>
      <c r="C17" s="24">
        <f>IFERROR(VALUE('1. Raw Data'!E55),"n/a")</f>
        <v>0.23899999999999999</v>
      </c>
      <c r="D17" s="25">
        <f>IFERROR((C17-B17)*100,"n/a")</f>
        <v>0.40000000000000036</v>
      </c>
      <c r="E17" s="24">
        <f>IFERROR(VALUE('1. Raw Data'!H55),"n/a")</f>
        <v>0.27100000000000002</v>
      </c>
      <c r="F17" s="24">
        <f>IFERROR(VALUE('1. Raw Data'!I55),"n/a")</f>
        <v>0.27400000000000002</v>
      </c>
      <c r="G17" s="25">
        <f>IFERROR((F17-E17)*100,"n/a")</f>
        <v>0.30000000000000027</v>
      </c>
      <c r="H17" s="24">
        <f>IFERROR(VALUE('1. Raw Data'!L55),"n/a")</f>
        <v>0.27400000000000002</v>
      </c>
      <c r="I17" s="24">
        <f>IFERROR(VALUE('1. Raw Data'!M55),"n/a")</f>
        <v>0.254</v>
      </c>
      <c r="J17" s="25">
        <f>IFERROR((I17-H17)*100,"n/a")</f>
        <v>-2.0000000000000018</v>
      </c>
      <c r="K17" s="24">
        <f>IFERROR(VALUE('1. Raw Data'!P55),"n/a")</f>
        <v>0.247</v>
      </c>
      <c r="L17" s="24">
        <f>IFERROR(VALUE('1. Raw Data'!Q55),"n/a")</f>
        <v>0.20100000000000001</v>
      </c>
      <c r="M17" s="25">
        <f>IFERROR((L17-K17)*100,"n/a")</f>
        <v>-4.5999999999999988</v>
      </c>
      <c r="N17" s="22" t="str">
        <f>IFERROR(IF(L17&gt;K17,"▲ Improving",IF(L17&lt;K17,"▼ Declining","— Flat")),"n/a")</f>
        <v>▼ Declining</v>
      </c>
    </row>
    <row r="18" spans="1:14" ht="15" thickTop="1" thickBot="1" x14ac:dyDescent="0.5">
      <c r="A18" s="14" t="s">
        <v>35</v>
      </c>
      <c r="B18" s="24" t="str">
        <f>IFERROR(VALUE('1. Raw Data'!D56),"n/a")</f>
        <v>n/a</v>
      </c>
      <c r="C18" s="24" t="str">
        <f>IFERROR(VALUE('1. Raw Data'!E56),"n/a")</f>
        <v>n/a</v>
      </c>
      <c r="D18" s="25" t="str">
        <f>IFERROR((C18-B18)*100,"n/a")</f>
        <v>n/a</v>
      </c>
      <c r="E18" s="24" t="str">
        <f>IFERROR(VALUE('1. Raw Data'!H56),"n/a")</f>
        <v>n/a</v>
      </c>
      <c r="F18" s="24" t="str">
        <f>IFERROR(VALUE('1. Raw Data'!I56),"n/a")</f>
        <v>n/a</v>
      </c>
      <c r="G18" s="25" t="str">
        <f>IFERROR((F18-E18)*100,"n/a")</f>
        <v>n/a</v>
      </c>
      <c r="H18" s="24" t="str">
        <f>IFERROR(VALUE('1. Raw Data'!L56),"n/a")</f>
        <v>n/a</v>
      </c>
      <c r="I18" s="24" t="str">
        <f>IFERROR(VALUE('1. Raw Data'!M56),"n/a")</f>
        <v>n/a</v>
      </c>
      <c r="J18" s="25" t="str">
        <f>IFERROR((I18-H18)*100,"n/a")</f>
        <v>n/a</v>
      </c>
      <c r="K18" s="24">
        <f>IFERROR(VALUE('1. Raw Data'!P56),"n/a")</f>
        <v>0.28699999999999998</v>
      </c>
      <c r="L18" s="24">
        <f>IFERROR(VALUE('1. Raw Data'!Q56),"n/a")</f>
        <v>0.32100000000000001</v>
      </c>
      <c r="M18" s="25">
        <f>IFERROR((L18-K18)*100,"n/a")</f>
        <v>3.400000000000003</v>
      </c>
      <c r="N18" s="22" t="str">
        <f>IFERROR(IF(L18&gt;K18,"▲ Improving",IF(L18&lt;K18,"▼ Declining","— Flat")),"n/a")</f>
        <v>▲ Improving</v>
      </c>
    </row>
    <row r="19" spans="1:14" ht="15" thickTop="1" thickBot="1" x14ac:dyDescent="0.5">
      <c r="A19" s="14" t="s">
        <v>37</v>
      </c>
      <c r="B19" s="24" t="str">
        <f>IFERROR(VALUE('1. Raw Data'!D57),"n/a")</f>
        <v>n/a</v>
      </c>
      <c r="C19" s="24" t="str">
        <f>IFERROR(VALUE('1. Raw Data'!E57),"n/a")</f>
        <v>n/a</v>
      </c>
      <c r="D19" s="25" t="str">
        <f>IFERROR((C19-B19)*100,"n/a")</f>
        <v>n/a</v>
      </c>
      <c r="E19" s="24" t="str">
        <f>IFERROR(VALUE('1. Raw Data'!H57),"n/a")</f>
        <v>n/a</v>
      </c>
      <c r="F19" s="24" t="str">
        <f>IFERROR(VALUE('1. Raw Data'!I57),"n/a")</f>
        <v>n/a</v>
      </c>
      <c r="G19" s="25" t="str">
        <f>IFERROR((F19-E19)*100,"n/a")</f>
        <v>n/a</v>
      </c>
      <c r="H19" s="24">
        <f>IFERROR(VALUE('1. Raw Data'!L57),"n/a")</f>
        <v>0.19900000000000001</v>
      </c>
      <c r="I19" s="24">
        <f>IFERROR(VALUE('1. Raw Data'!M57),"n/a")</f>
        <v>0.19700000000000001</v>
      </c>
      <c r="J19" s="25">
        <f>IFERROR((I19-H19)*100,"n/a")</f>
        <v>-0.20000000000000018</v>
      </c>
      <c r="K19" s="24">
        <f>IFERROR(VALUE('1. Raw Data'!P57),"n/a")</f>
        <v>0.19900000000000001</v>
      </c>
      <c r="L19" s="24">
        <f>IFERROR(VALUE('1. Raw Data'!Q57),"n/a")</f>
        <v>0.18099999999999999</v>
      </c>
      <c r="M19" s="25">
        <f>IFERROR((L19-K19)*100,"n/a")</f>
        <v>-1.8000000000000016</v>
      </c>
      <c r="N19" s="22" t="str">
        <f>IFERROR(IF(L19&gt;K19,"▲ Improving",IF(L19&lt;K19,"▼ Declining","— Flat")),"n/a")</f>
        <v>▼ Declining</v>
      </c>
    </row>
    <row r="20" spans="1:14" ht="14.65" thickTop="1" x14ac:dyDescent="0.45"/>
    <row r="21" spans="1:14" s="10" customFormat="1" x14ac:dyDescent="0.45">
      <c r="A21" s="9" t="s">
        <v>140</v>
      </c>
    </row>
    <row r="22" spans="1:14" s="10" customFormat="1" x14ac:dyDescent="0.45">
      <c r="A22" s="9" t="s">
        <v>141</v>
      </c>
    </row>
    <row r="26" spans="1:14" x14ac:dyDescent="0.45">
      <c r="A26" s="18"/>
    </row>
    <row r="27" spans="1:14" x14ac:dyDescent="0.45">
      <c r="A27" s="70"/>
      <c r="B27" s="70"/>
      <c r="C27" s="70"/>
      <c r="D27" s="70"/>
      <c r="E27" s="70"/>
    </row>
    <row r="28" spans="1:14" x14ac:dyDescent="0.45">
      <c r="A28" s="11"/>
      <c r="B28" s="67"/>
      <c r="C28" s="67"/>
      <c r="D28" s="67"/>
      <c r="E28" s="67"/>
    </row>
    <row r="29" spans="1:14" x14ac:dyDescent="0.45">
      <c r="A29" s="11"/>
      <c r="B29" s="67"/>
      <c r="C29" s="67"/>
      <c r="D29" s="67"/>
      <c r="E29" s="67"/>
    </row>
    <row r="30" spans="1:14" x14ac:dyDescent="0.45">
      <c r="A30" s="11"/>
      <c r="B30" s="67"/>
      <c r="C30" s="67"/>
      <c r="D30" s="67"/>
      <c r="E30" s="67"/>
    </row>
    <row r="31" spans="1:14" x14ac:dyDescent="0.45">
      <c r="A31" s="66"/>
      <c r="B31" s="68"/>
      <c r="C31" s="68"/>
      <c r="D31" s="69"/>
      <c r="E31" s="6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zoomScale="63" zoomScaleNormal="100" workbookViewId="0">
      <selection activeCell="T29" sqref="T29"/>
    </sheetView>
  </sheetViews>
  <sheetFormatPr defaultColWidth="8.6640625" defaultRowHeight="14.25" x14ac:dyDescent="0.45"/>
  <cols>
    <col min="1" max="1" width="16.33203125" customWidth="1"/>
    <col min="2" max="2" width="17.265625" customWidth="1"/>
    <col min="3" max="3" width="13.9296875" customWidth="1"/>
    <col min="4" max="4" width="13.46484375" customWidth="1"/>
    <col min="5" max="5" width="17.86328125" customWidth="1"/>
    <col min="6" max="6" width="19.06640625" customWidth="1"/>
    <col min="7" max="7" width="14.6640625" customWidth="1"/>
    <col min="8" max="8" width="14.19921875" customWidth="1"/>
    <col min="9" max="9" width="14.73046875" customWidth="1"/>
    <col min="10" max="10" width="15.3984375" customWidth="1"/>
  </cols>
  <sheetData>
    <row r="1" spans="1:11" s="8" customFormat="1" ht="21" x14ac:dyDescent="0.65">
      <c r="A1" s="7" t="s">
        <v>200</v>
      </c>
    </row>
    <row r="2" spans="1:11" s="10" customFormat="1" x14ac:dyDescent="0.45">
      <c r="A2" s="9" t="s">
        <v>142</v>
      </c>
    </row>
    <row r="4" spans="1:11" ht="14.65" thickBot="1" x14ac:dyDescent="0.5">
      <c r="A4" s="18" t="s">
        <v>201</v>
      </c>
    </row>
    <row r="5" spans="1:11" ht="15" thickTop="1" thickBot="1" x14ac:dyDescent="0.5">
      <c r="A5" s="12" t="s">
        <v>58</v>
      </c>
      <c r="B5" s="12" t="s">
        <v>143</v>
      </c>
      <c r="C5" s="12" t="s">
        <v>144</v>
      </c>
      <c r="D5" s="12" t="s">
        <v>145</v>
      </c>
      <c r="E5" s="12" t="s">
        <v>146</v>
      </c>
      <c r="F5" s="12" t="s">
        <v>147</v>
      </c>
      <c r="G5" s="12" t="s">
        <v>148</v>
      </c>
      <c r="H5" s="12" t="s">
        <v>149</v>
      </c>
      <c r="I5" s="12" t="s">
        <v>150</v>
      </c>
      <c r="J5" s="12" t="s">
        <v>151</v>
      </c>
      <c r="K5" s="12" t="s">
        <v>152</v>
      </c>
    </row>
    <row r="6" spans="1:11" ht="15" thickTop="1" thickBot="1" x14ac:dyDescent="0.5">
      <c r="A6" s="14" t="s">
        <v>63</v>
      </c>
      <c r="B6" s="19">
        <f>'1. Raw Data'!D35</f>
        <v>3304138</v>
      </c>
      <c r="C6" s="20">
        <f>B6/'1. Raw Data'!D37</f>
        <v>0.81583875906823455</v>
      </c>
      <c r="D6" s="19">
        <f>'1. Raw Data'!E35</f>
        <v>3250099</v>
      </c>
      <c r="E6" s="20">
        <f>D6/'1. Raw Data'!E37</f>
        <v>0.80941215555581014</v>
      </c>
      <c r="F6" s="21">
        <f>(E6-C6)*100</f>
        <v>-0.64266035124244114</v>
      </c>
      <c r="G6" s="19">
        <f>'1. Raw Data'!B35</f>
        <v>811913</v>
      </c>
      <c r="H6" s="20">
        <f>G6/'1. Raw Data'!B37</f>
        <v>0.80984869567472517</v>
      </c>
      <c r="I6" s="19">
        <f>'1. Raw Data'!C35</f>
        <v>803298</v>
      </c>
      <c r="J6" s="20">
        <f>I6/'1. Raw Data'!C37</f>
        <v>0.80796236674320854</v>
      </c>
      <c r="K6" s="21">
        <f>(J6-H6)*100</f>
        <v>-0.18863289315166343</v>
      </c>
    </row>
    <row r="7" spans="1:11" ht="15" thickTop="1" thickBot="1" x14ac:dyDescent="0.5">
      <c r="A7" s="14" t="s">
        <v>64</v>
      </c>
      <c r="B7" s="19">
        <f>'1. Raw Data'!D36</f>
        <v>745851</v>
      </c>
      <c r="C7" s="20">
        <f>B7/'1. Raw Data'!D37</f>
        <v>0.1841612409317655</v>
      </c>
      <c r="D7" s="19">
        <f>'1. Raw Data'!E36</f>
        <v>765283</v>
      </c>
      <c r="E7" s="20">
        <f>D7/'1. Raw Data'!E37</f>
        <v>0.19058784444418986</v>
      </c>
      <c r="F7" s="21">
        <f>(E7-C7)*100</f>
        <v>0.64266035124243559</v>
      </c>
      <c r="G7" s="19">
        <f>'1. Raw Data'!B36</f>
        <v>190636</v>
      </c>
      <c r="H7" s="20">
        <f>G7/'1. Raw Data'!B37</f>
        <v>0.19015130432527488</v>
      </c>
      <c r="I7" s="19">
        <f>'1. Raw Data'!C36</f>
        <v>190929</v>
      </c>
      <c r="J7" s="20">
        <f>I7/'1. Raw Data'!C37</f>
        <v>0.19203763325679146</v>
      </c>
      <c r="K7" s="21">
        <f>(J7-H7)*100</f>
        <v>0.18863289315165788</v>
      </c>
    </row>
    <row r="8" spans="1:11" ht="15" thickTop="1" thickBot="1" x14ac:dyDescent="0.5">
      <c r="A8" s="14" t="s">
        <v>65</v>
      </c>
      <c r="B8" s="19">
        <f>'1. Raw Data'!D37</f>
        <v>4049989</v>
      </c>
      <c r="C8" s="20">
        <v>1</v>
      </c>
      <c r="D8" s="19">
        <f>'1. Raw Data'!E37</f>
        <v>4015382</v>
      </c>
      <c r="E8" s="20">
        <v>1</v>
      </c>
      <c r="F8" s="22">
        <v>0</v>
      </c>
      <c r="G8" s="19">
        <f>'1. Raw Data'!B37</f>
        <v>1002549</v>
      </c>
      <c r="H8" s="20">
        <v>1</v>
      </c>
      <c r="I8" s="19">
        <f>'1. Raw Data'!C37</f>
        <v>994227</v>
      </c>
      <c r="J8" s="20">
        <v>1</v>
      </c>
      <c r="K8" s="22">
        <v>0</v>
      </c>
    </row>
    <row r="9" spans="1:11" ht="14.65" thickTop="1" x14ac:dyDescent="0.45"/>
    <row r="10" spans="1:11" x14ac:dyDescent="0.45">
      <c r="A10" s="4" t="s">
        <v>153</v>
      </c>
    </row>
    <row r="11" spans="1:11" ht="28.35" customHeight="1" x14ac:dyDescent="0.45">
      <c r="A11" s="1" t="s">
        <v>154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3" spans="1:11" ht="28.35" customHeight="1" x14ac:dyDescent="0.45">
      <c r="A13" s="1" t="s">
        <v>155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5" spans="1:11" ht="41.75" customHeight="1" x14ac:dyDescent="0.45">
      <c r="A15" s="1" t="s">
        <v>156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7" spans="1:11" ht="28.35" customHeight="1" x14ac:dyDescent="0.45">
      <c r="A17" s="1" t="s">
        <v>157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20" spans="1:11" ht="14.65" thickBot="1" x14ac:dyDescent="0.5">
      <c r="A20" s="18" t="s">
        <v>202</v>
      </c>
    </row>
    <row r="21" spans="1:11" ht="15" thickTop="1" thickBot="1" x14ac:dyDescent="0.5">
      <c r="A21" s="12" t="s">
        <v>58</v>
      </c>
      <c r="B21" s="12" t="s">
        <v>144</v>
      </c>
      <c r="C21" s="12" t="s">
        <v>146</v>
      </c>
    </row>
    <row r="22" spans="1:11" ht="15" thickTop="1" thickBot="1" x14ac:dyDescent="0.5">
      <c r="A22" s="14" t="s">
        <v>63</v>
      </c>
      <c r="B22" s="23">
        <f>C6</f>
        <v>0.81583875906823455</v>
      </c>
      <c r="C22" s="23">
        <f>E6</f>
        <v>0.80941215555581014</v>
      </c>
    </row>
    <row r="23" spans="1:11" ht="15" thickTop="1" thickBot="1" x14ac:dyDescent="0.5">
      <c r="A23" s="14" t="s">
        <v>64</v>
      </c>
      <c r="B23" s="23">
        <f>C7</f>
        <v>0.1841612409317655</v>
      </c>
      <c r="C23" s="23">
        <f>E7</f>
        <v>0.19058784444418986</v>
      </c>
    </row>
    <row r="24" spans="1:11" ht="14.65" thickTop="1" x14ac:dyDescent="0.45"/>
  </sheetData>
  <mergeCells count="4">
    <mergeCell ref="A11:K11"/>
    <mergeCell ref="A13:K13"/>
    <mergeCell ref="A15:K15"/>
    <mergeCell ref="A17:K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abSelected="1" zoomScale="63" zoomScaleNormal="100" workbookViewId="0">
      <selection activeCell="I22" sqref="I22"/>
    </sheetView>
  </sheetViews>
  <sheetFormatPr defaultColWidth="8.6640625" defaultRowHeight="14.25" x14ac:dyDescent="0.45"/>
  <cols>
    <col min="1" max="1" width="4" customWidth="1"/>
    <col min="2" max="2" width="50.53125" customWidth="1"/>
    <col min="3" max="3" width="28" customWidth="1"/>
    <col min="4" max="4" width="20.265625" customWidth="1"/>
    <col min="5" max="5" width="55.59765625" customWidth="1"/>
    <col min="6" max="6" width="45" customWidth="1"/>
  </cols>
  <sheetData>
    <row r="1" spans="1:6" s="8" customFormat="1" ht="21" x14ac:dyDescent="0.65">
      <c r="A1" s="7" t="s">
        <v>199</v>
      </c>
    </row>
    <row r="2" spans="1:6" s="10" customFormat="1" x14ac:dyDescent="0.45">
      <c r="A2" s="9" t="s">
        <v>158</v>
      </c>
    </row>
    <row r="3" spans="1:6" ht="14.65" thickBot="1" x14ac:dyDescent="0.5"/>
    <row r="4" spans="1:6" ht="15" thickTop="1" thickBot="1" x14ac:dyDescent="0.5">
      <c r="A4" s="12" t="s">
        <v>159</v>
      </c>
      <c r="B4" s="12" t="s">
        <v>160</v>
      </c>
      <c r="C4" s="12" t="s">
        <v>161</v>
      </c>
      <c r="D4" s="12" t="s">
        <v>162</v>
      </c>
      <c r="E4" s="12" t="s">
        <v>163</v>
      </c>
      <c r="F4" s="12" t="s">
        <v>164</v>
      </c>
    </row>
    <row r="5" spans="1:6" ht="28.5" thickTop="1" thickBot="1" x14ac:dyDescent="0.5">
      <c r="A5" s="13">
        <v>1</v>
      </c>
      <c r="B5" s="14" t="s">
        <v>165</v>
      </c>
      <c r="C5" s="13" t="s">
        <v>166</v>
      </c>
      <c r="D5" s="13" t="s">
        <v>167</v>
      </c>
      <c r="E5" s="15" t="s">
        <v>168</v>
      </c>
      <c r="F5" s="16" t="s">
        <v>169</v>
      </c>
    </row>
    <row r="6" spans="1:6" ht="28.5" thickTop="1" thickBot="1" x14ac:dyDescent="0.5">
      <c r="A6" s="13">
        <v>2</v>
      </c>
      <c r="B6" s="14" t="s">
        <v>170</v>
      </c>
      <c r="C6" s="13" t="s">
        <v>166</v>
      </c>
      <c r="D6" s="13" t="s">
        <v>171</v>
      </c>
      <c r="E6" s="15" t="s">
        <v>172</v>
      </c>
      <c r="F6" s="16" t="s">
        <v>173</v>
      </c>
    </row>
    <row r="7" spans="1:6" ht="28.5" thickTop="1" thickBot="1" x14ac:dyDescent="0.5">
      <c r="A7" s="13">
        <v>3</v>
      </c>
      <c r="B7" s="14" t="s">
        <v>174</v>
      </c>
      <c r="C7" s="16" t="s">
        <v>175</v>
      </c>
      <c r="D7" s="13" t="s">
        <v>176</v>
      </c>
      <c r="E7" s="15" t="s">
        <v>177</v>
      </c>
      <c r="F7" s="16" t="s">
        <v>178</v>
      </c>
    </row>
    <row r="8" spans="1:6" ht="42" thickTop="1" thickBot="1" x14ac:dyDescent="0.5">
      <c r="A8" s="13">
        <v>4</v>
      </c>
      <c r="B8" s="14" t="s">
        <v>179</v>
      </c>
      <c r="C8" s="16" t="s">
        <v>180</v>
      </c>
      <c r="D8" s="13" t="s">
        <v>181</v>
      </c>
      <c r="E8" s="15" t="s">
        <v>182</v>
      </c>
      <c r="F8" s="16" t="s">
        <v>183</v>
      </c>
    </row>
    <row r="9" spans="1:6" ht="42" thickTop="1" thickBot="1" x14ac:dyDescent="0.5">
      <c r="A9" s="13">
        <v>5</v>
      </c>
      <c r="B9" s="14" t="s">
        <v>184</v>
      </c>
      <c r="C9" s="16" t="s">
        <v>185</v>
      </c>
      <c r="D9" s="13" t="s">
        <v>186</v>
      </c>
      <c r="E9" s="15" t="s">
        <v>187</v>
      </c>
      <c r="F9" s="16" t="s">
        <v>188</v>
      </c>
    </row>
    <row r="10" spans="1:6" ht="28.5" thickTop="1" thickBot="1" x14ac:dyDescent="0.5">
      <c r="A10" s="13">
        <v>6</v>
      </c>
      <c r="B10" s="14" t="s">
        <v>189</v>
      </c>
      <c r="C10" s="13" t="s">
        <v>190</v>
      </c>
      <c r="D10" s="13" t="s">
        <v>191</v>
      </c>
      <c r="E10" s="15" t="s">
        <v>192</v>
      </c>
      <c r="F10" s="16" t="s">
        <v>193</v>
      </c>
    </row>
    <row r="11" spans="1:6" ht="14.65" thickTop="1" x14ac:dyDescent="0.45"/>
    <row r="12" spans="1:6" x14ac:dyDescent="0.45">
      <c r="A12" s="4" t="s">
        <v>194</v>
      </c>
    </row>
    <row r="13" spans="1:6" ht="15" customHeight="1" x14ac:dyDescent="0.45">
      <c r="A13" s="3" t="s">
        <v>195</v>
      </c>
      <c r="B13" s="3"/>
      <c r="C13" s="3"/>
      <c r="D13" s="3"/>
      <c r="E13" s="3"/>
      <c r="F13" s="3"/>
    </row>
    <row r="14" spans="1:6" ht="15" customHeight="1" x14ac:dyDescent="0.45">
      <c r="A14" s="3" t="s">
        <v>196</v>
      </c>
      <c r="B14" s="3"/>
      <c r="C14" s="3"/>
      <c r="D14" s="3"/>
      <c r="E14" s="3"/>
      <c r="F14" s="3"/>
    </row>
    <row r="15" spans="1:6" ht="15" customHeight="1" x14ac:dyDescent="0.45">
      <c r="A15" s="3" t="s">
        <v>197</v>
      </c>
      <c r="B15" s="3"/>
      <c r="C15" s="3"/>
      <c r="D15" s="3"/>
      <c r="E15" s="3"/>
      <c r="F15" s="3"/>
    </row>
    <row r="16" spans="1:6" ht="15" customHeight="1" x14ac:dyDescent="0.45">
      <c r="A16" s="3" t="s">
        <v>198</v>
      </c>
      <c r="B16" s="3"/>
      <c r="C16" s="3"/>
      <c r="D16" s="3"/>
      <c r="E16" s="3"/>
      <c r="F16" s="3"/>
    </row>
  </sheetData>
  <mergeCells count="4">
    <mergeCell ref="A13:F13"/>
    <mergeCell ref="A14:F14"/>
    <mergeCell ref="A15:F15"/>
    <mergeCell ref="A16:F16"/>
  </mergeCells>
  <hyperlinks>
    <hyperlink ref="E5" r:id="rId1" xr:uid="{00000000-0004-0000-0500-000000000000}"/>
    <hyperlink ref="E6" r:id="rId2" xr:uid="{00000000-0004-0000-0500-000001000000}"/>
    <hyperlink ref="E7" r:id="rId3" xr:uid="{00000000-0004-0000-0500-000002000000}"/>
    <hyperlink ref="E8" r:id="rId4" xr:uid="{00000000-0004-0000-0500-000003000000}"/>
    <hyperlink ref="E9" r:id="rId5" xr:uid="{00000000-0004-0000-0500-000004000000}"/>
    <hyperlink ref="E10" r:id="rId6" xr:uid="{00000000-0004-0000-0500-000005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1. Raw Data</vt:lpstr>
      <vt:lpstr>2. Variance Analysis</vt:lpstr>
      <vt:lpstr>3. Margin Trend</vt:lpstr>
      <vt:lpstr>4. Product-Service Mix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Shadman Rahman</cp:lastModifiedBy>
  <dcterms:created xsi:type="dcterms:W3CDTF">2026-07-06T11:28:33Z</dcterms:created>
  <dcterms:modified xsi:type="dcterms:W3CDTF">2026-07-06T18:42:39Z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2026-07-05T17:55:27Z</dcterms:created>
  <dc:creator>openpyxl</dc:creator>
  <dc:description/>
  <dc:language>en-US</dc:language>
  <cp:lastModifiedBy/>
  <dcterms:modified xsi:type="dcterms:W3CDTF">2026-07-05T20:02:54Z</dcterms:modified>
  <cp:revision>0</cp:revision>
  <dc:subject/>
  <dc:title/>
</cp:coreProperties>
</file>